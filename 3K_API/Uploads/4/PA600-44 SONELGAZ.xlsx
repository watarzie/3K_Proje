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560042732\Box\SEVKİYAT DOSYALARI - SHIPMENT FOLDERS\01-ÇEKİ LİSTELERİ - PACKING LISTS\01 - ÇEKİ LİSTESİ - HAZIRLIK - PACKING LISTS\01-PAXXX\PA551 &amp; PA600\"/>
    </mc:Choice>
  </mc:AlternateContent>
  <xr:revisionPtr revIDLastSave="0" documentId="13_ncr:1_{0169FB66-69DD-4770-B131-EEE746E60EA6}" xr6:coauthVersionLast="47" xr6:coauthVersionMax="47" xr10:uidLastSave="{00000000-0000-0000-0000-000000000000}"/>
  <bookViews>
    <workbookView xWindow="-120" yWindow="-120" windowWidth="29040" windowHeight="15720" tabRatio="890" activeTab="1" xr2:uid="{E9D9F0B2-6545-4868-887A-D7DC89314A13}"/>
  </bookViews>
  <sheets>
    <sheet name="ÇEKİ LİSTESİ (1)" sheetId="7" r:id="rId1"/>
    <sheet name=" PACKING LIST" sheetId="8" r:id="rId2"/>
    <sheet name="ÇALIŞMA SAYFASI" sheetId="12" state="hidden" r:id="rId3"/>
    <sheet name="ÇIKTI SAYFASI" sheetId="1" r:id="rId4"/>
    <sheet name="İŞLETME CONTA TK." sheetId="13" r:id="rId5"/>
    <sheet name="TRAFO MONTAJ EKİPMANLARI 3K" sheetId="14" r:id="rId6"/>
    <sheet name="TRAFO MONTAJ EKİPMANLARI SO" sheetId="17" r:id="rId7"/>
    <sheet name="ÇALIŞMA SAYFASI YDK" sheetId="16" state="hidden" r:id="rId8"/>
  </sheets>
  <definedNames>
    <definedName name="_xlnm._FilterDatabase" localSheetId="2" hidden="1">'ÇALIŞMA SAYFASI'!$A$9:$Q$495</definedName>
    <definedName name="_xlnm._FilterDatabase" localSheetId="7" hidden="1">'ÇALIŞMA SAYFASI YDK'!$A$9:$Q$495</definedName>
    <definedName name="_xlnm._FilterDatabase" localSheetId="6" hidden="1">'TRAFO MONTAJ EKİPMANLARI SO'!$A$8:$P$198</definedName>
    <definedName name="_xlnm.Print_Area" localSheetId="1">' PACKING LIST'!$A$1:$L$59</definedName>
    <definedName name="_xlnm.Print_Area" localSheetId="0">'ÇEKİ LİSTESİ (1)'!$A$1:$K$55</definedName>
    <definedName name="_xlnm.Print_Area" localSheetId="3">'ÇIKTI SAYFASI'!$A$1:$P$206</definedName>
    <definedName name="_xlnm.Print_Area" localSheetId="4">'İŞLETME CONTA TK.'!$A$1:$P$46</definedName>
    <definedName name="_xlnm.Print_Area" localSheetId="5">'TRAFO MONTAJ EKİPMANLARI 3K'!$A$1:$P$61</definedName>
    <definedName name="_xlnm.Print_Area" localSheetId="6">'TRAFO MONTAJ EKİPMANLARI SO'!$A$1:$P$61</definedName>
    <definedName name="_xlnm.Print_Titles" localSheetId="3">'ÇIKTI SAYFASI'!$1:$9</definedName>
    <definedName name="_xlnm.Print_Titles" localSheetId="4">'İŞLETME CONTA TK.'!$1:$9</definedName>
    <definedName name="_xlnm.Print_Titles" localSheetId="5">'TRAFO MONTAJ EKİPMANLARI 3K'!$1:$9</definedName>
    <definedName name="_xlnm.Print_Titles" localSheetId="6">'TRAFO MONTAJ EKİPMANLARI SO'!$1:$9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8" i="8" l="1"/>
  <c r="I58" i="8"/>
  <c r="J57" i="8" l="1"/>
  <c r="I57" i="8"/>
  <c r="E59" i="8" l="1"/>
  <c r="D59" i="8"/>
  <c r="J56" i="8"/>
  <c r="I56" i="8"/>
  <c r="J55" i="8"/>
  <c r="I55" i="8"/>
  <c r="J54" i="8"/>
  <c r="I54" i="8"/>
  <c r="J53" i="8"/>
  <c r="I53" i="8"/>
  <c r="J52" i="8"/>
  <c r="I52" i="8"/>
  <c r="J51" i="8"/>
  <c r="I51" i="8"/>
  <c r="J50" i="8"/>
  <c r="I50" i="8"/>
  <c r="J49" i="8"/>
  <c r="I49" i="8"/>
  <c r="J48" i="8"/>
  <c r="I48" i="8"/>
  <c r="J47" i="8"/>
  <c r="I47" i="8"/>
  <c r="D6" i="17" l="1"/>
  <c r="L4" i="17"/>
  <c r="F4" i="17"/>
  <c r="D4" i="17"/>
  <c r="L3" i="17"/>
  <c r="L2" i="17"/>
  <c r="F2" i="17"/>
  <c r="D2" i="17"/>
  <c r="B2" i="17"/>
  <c r="O28" i="7" l="1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I43" i="8" l="1"/>
  <c r="J43" i="8"/>
  <c r="I44" i="8"/>
  <c r="J44" i="8"/>
  <c r="I45" i="8"/>
  <c r="J45" i="8"/>
  <c r="I46" i="8"/>
  <c r="J46" i="8"/>
  <c r="I23" i="8"/>
  <c r="J23" i="8"/>
  <c r="I24" i="8"/>
  <c r="J24" i="8"/>
  <c r="I25" i="8"/>
  <c r="J25" i="8"/>
  <c r="I26" i="8"/>
  <c r="J26" i="8"/>
  <c r="I27" i="8"/>
  <c r="J27" i="8"/>
  <c r="I28" i="8"/>
  <c r="J28" i="8"/>
  <c r="I29" i="8"/>
  <c r="J29" i="8"/>
  <c r="I30" i="8"/>
  <c r="J30" i="8"/>
  <c r="I31" i="8"/>
  <c r="J31" i="8"/>
  <c r="I32" i="8"/>
  <c r="J32" i="8"/>
  <c r="I33" i="8"/>
  <c r="J33" i="8"/>
  <c r="C2" i="16" l="1"/>
  <c r="I41" i="8" l="1"/>
  <c r="J41" i="8"/>
  <c r="I42" i="8"/>
  <c r="J42" i="8"/>
  <c r="L4" i="14"/>
  <c r="L3" i="14"/>
  <c r="L2" i="14"/>
  <c r="L4" i="13"/>
  <c r="L3" i="13"/>
  <c r="L2" i="13"/>
  <c r="L4" i="1"/>
  <c r="L3" i="1"/>
  <c r="L2" i="1"/>
  <c r="D6" i="14"/>
  <c r="F4" i="14"/>
  <c r="D4" i="14"/>
  <c r="F2" i="14"/>
  <c r="D2" i="14"/>
  <c r="D6" i="13"/>
  <c r="F4" i="13"/>
  <c r="D4" i="13"/>
  <c r="F2" i="13"/>
  <c r="D2" i="13"/>
  <c r="F4" i="1"/>
  <c r="F2" i="1"/>
  <c r="D6" i="1"/>
  <c r="D4" i="1"/>
  <c r="D2" i="1"/>
  <c r="G8" i="7"/>
  <c r="G7" i="7"/>
  <c r="G6" i="7"/>
  <c r="J4" i="7"/>
  <c r="J3" i="7"/>
  <c r="E5" i="7"/>
  <c r="E4" i="7"/>
  <c r="E3" i="7"/>
  <c r="C1" i="7"/>
  <c r="B2" i="14" l="1"/>
  <c r="B2" i="13"/>
  <c r="B2" i="1"/>
  <c r="L7" i="8"/>
  <c r="J40" i="8" l="1"/>
  <c r="I40" i="8"/>
  <c r="J39" i="8"/>
  <c r="I39" i="8"/>
  <c r="J38" i="8"/>
  <c r="I38" i="8"/>
  <c r="J20" i="8" l="1"/>
  <c r="I20" i="8"/>
  <c r="O27" i="7" l="1"/>
  <c r="O25" i="7"/>
  <c r="J15" i="8"/>
  <c r="J18" i="8"/>
  <c r="J19" i="8"/>
  <c r="J21" i="8"/>
  <c r="J22" i="8"/>
  <c r="J14" i="8"/>
  <c r="J17" i="8"/>
  <c r="J16" i="8"/>
  <c r="J34" i="8"/>
  <c r="J35" i="8"/>
  <c r="J36" i="8"/>
  <c r="J37" i="8"/>
  <c r="I22" i="8" l="1"/>
  <c r="I34" i="8"/>
  <c r="I35" i="8"/>
  <c r="I36" i="8"/>
  <c r="I37" i="8"/>
  <c r="I21" i="8"/>
  <c r="I15" i="8" l="1"/>
  <c r="I14" i="8" l="1"/>
  <c r="I13" i="8"/>
  <c r="J13" i="8" l="1"/>
  <c r="J59" i="8" s="1"/>
  <c r="I17" i="8"/>
  <c r="I18" i="8"/>
  <c r="I19" i="8"/>
  <c r="R12" i="7" l="1"/>
  <c r="S12" i="7" s="1"/>
  <c r="S14" i="7" s="1"/>
  <c r="O26" i="7" l="1"/>
  <c r="N26" i="7"/>
  <c r="N27" i="7"/>
  <c r="M26" i="7"/>
  <c r="M27" i="7"/>
  <c r="N25" i="7"/>
  <c r="M25" i="7"/>
  <c r="P53" i="7" l="1"/>
  <c r="N53" i="7"/>
  <c r="N21" i="7" s="1"/>
  <c r="M53" i="7"/>
  <c r="M21" i="7" s="1"/>
  <c r="O53" i="7"/>
  <c r="I16" i="8"/>
  <c r="I59" i="8" s="1"/>
  <c r="O2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Kaplan, Halit (GE Vernova, consultant)</author>
  </authors>
  <commentList>
    <comment ref="F30" authorId="0" shapeId="0" xr:uid="{3E3C8AC8-8251-4CDA-A38F-A3D7A46EE9D8}">
      <text>
        <r>
          <rPr>
            <b/>
            <sz val="9"/>
            <color indexed="81"/>
            <rFont val="Tahoma"/>
            <family val="2"/>
            <charset val="162"/>
          </rPr>
          <t>Kaplan, Halit (GE Vernova, consultant):</t>
        </r>
        <r>
          <rPr>
            <sz val="9"/>
            <color indexed="81"/>
            <rFont val="Tahoma"/>
            <family val="2"/>
            <charset val="162"/>
          </rPr>
          <t xml:space="preserve">
1 adet verilmiş fakat 2 adet gidebilir. İncele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<sst xmlns="http://schemas.openxmlformats.org/spreadsheetml/2006/main" count="5409" uniqueCount="1135">
  <si>
    <t>KOLİ LİSTESİ DETAYI
PACKING LIST DETAILS</t>
  </si>
  <si>
    <r>
      <rPr>
        <sz val="11"/>
        <color theme="1"/>
        <rFont val="GE Inspira Medium"/>
        <family val="2"/>
        <charset val="162"/>
      </rPr>
      <t>TANIM</t>
    </r>
    <r>
      <rPr>
        <sz val="8"/>
        <color theme="1"/>
        <rFont val="GE Inspira Medium"/>
        <family val="2"/>
        <charset val="162"/>
      </rPr>
      <t xml:space="preserve">
DESCRIPTION</t>
    </r>
  </si>
  <si>
    <r>
      <rPr>
        <sz val="10"/>
        <color theme="1"/>
        <rFont val="GE Inspira Medium"/>
        <family val="2"/>
        <charset val="162"/>
      </rPr>
      <t>PAKETLEYEN</t>
    </r>
    <r>
      <rPr>
        <sz val="11"/>
        <color theme="1"/>
        <rFont val="GE Inspira Medium"/>
        <family val="2"/>
        <charset val="162"/>
      </rPr>
      <t xml:space="preserve">
</t>
    </r>
    <r>
      <rPr>
        <sz val="8"/>
        <color theme="1"/>
        <rFont val="GE Inspira Medium"/>
        <family val="2"/>
        <charset val="162"/>
      </rPr>
      <t>PACKER</t>
    </r>
  </si>
  <si>
    <r>
      <rPr>
        <sz val="11"/>
        <color theme="1"/>
        <rFont val="GE Inspira Medium"/>
        <family val="2"/>
        <charset val="162"/>
      </rPr>
      <t xml:space="preserve">MİKTAR </t>
    </r>
    <r>
      <rPr>
        <sz val="10"/>
        <color theme="1"/>
        <rFont val="GE Inspira Medium"/>
        <family val="2"/>
        <charset val="162"/>
      </rPr>
      <t xml:space="preserve"> </t>
    </r>
    <r>
      <rPr>
        <sz val="8"/>
        <color theme="1"/>
        <rFont val="GE Inspira Medium"/>
        <family val="2"/>
        <charset val="162"/>
      </rPr>
      <t>QUANTITY</t>
    </r>
  </si>
  <si>
    <r>
      <rPr>
        <sz val="10"/>
        <color theme="1"/>
        <rFont val="GE Inspira Medium"/>
        <family val="2"/>
        <charset val="162"/>
      </rPr>
      <t xml:space="preserve">KONTROL
</t>
    </r>
    <r>
      <rPr>
        <sz val="8"/>
        <color theme="1"/>
        <rFont val="GE Inspira Medium"/>
        <family val="2"/>
        <charset val="162"/>
      </rPr>
      <t>CHECK</t>
    </r>
  </si>
  <si>
    <r>
      <rPr>
        <sz val="11"/>
        <color theme="1"/>
        <rFont val="GE Inspira Medium"/>
        <family val="2"/>
        <charset val="162"/>
      </rPr>
      <t>BİRİM</t>
    </r>
    <r>
      <rPr>
        <sz val="10"/>
        <color theme="1"/>
        <rFont val="GE Inspira Medium"/>
        <family val="2"/>
        <charset val="162"/>
      </rPr>
      <t xml:space="preserve">
</t>
    </r>
    <r>
      <rPr>
        <sz val="8"/>
        <color theme="1"/>
        <rFont val="GE Inspira Medium"/>
        <family val="2"/>
        <charset val="162"/>
      </rPr>
      <t>UNIT</t>
    </r>
  </si>
  <si>
    <r>
      <rPr>
        <sz val="11"/>
        <color theme="1"/>
        <rFont val="GE Inspira Medium"/>
        <family val="2"/>
        <charset val="162"/>
      </rPr>
      <t xml:space="preserve">KOLİ NO </t>
    </r>
    <r>
      <rPr>
        <sz val="8"/>
        <color theme="1"/>
        <rFont val="GE Inspira Medium"/>
        <family val="2"/>
        <charset val="162"/>
      </rPr>
      <t>CASE NO</t>
    </r>
  </si>
  <si>
    <r>
      <rPr>
        <sz val="11"/>
        <color theme="1"/>
        <rFont val="GE Inspira Medium"/>
        <family val="2"/>
        <charset val="162"/>
      </rPr>
      <t>REFERANS</t>
    </r>
    <r>
      <rPr>
        <sz val="10"/>
        <color theme="1"/>
        <rFont val="GE Inspira Medium"/>
        <family val="2"/>
        <charset val="162"/>
      </rPr>
      <t xml:space="preserve">
</t>
    </r>
    <r>
      <rPr>
        <sz val="8"/>
        <color theme="1"/>
        <rFont val="GE Inspira Medium"/>
        <family val="2"/>
        <charset val="162"/>
      </rPr>
      <t>REFERENCE</t>
    </r>
  </si>
  <si>
    <t>RESİM NO:
DRW. NO:</t>
  </si>
  <si>
    <t>POZ NO:
POS. NO:</t>
  </si>
  <si>
    <r>
      <rPr>
        <sz val="11"/>
        <color theme="1"/>
        <rFont val="GE Inspira Medium"/>
        <family val="2"/>
        <charset val="162"/>
      </rPr>
      <t>AÇIKLAMA</t>
    </r>
    <r>
      <rPr>
        <sz val="10"/>
        <color theme="1"/>
        <rFont val="GE Inspira Medium"/>
        <family val="2"/>
        <charset val="162"/>
      </rPr>
      <t xml:space="preserve">
</t>
    </r>
    <r>
      <rPr>
        <sz val="8"/>
        <color theme="1"/>
        <rFont val="GE Inspira Medium"/>
        <family val="2"/>
        <charset val="162"/>
      </rPr>
      <t>REMARKS</t>
    </r>
  </si>
  <si>
    <r>
      <t xml:space="preserve">FB NO:
</t>
    </r>
    <r>
      <rPr>
        <sz val="8"/>
        <color theme="1"/>
        <rFont val="GE Inspira Medium"/>
        <family val="2"/>
        <charset val="162"/>
      </rPr>
      <t>SERİAL NO:</t>
    </r>
  </si>
  <si>
    <r>
      <t xml:space="preserve">Güç (MVA):
</t>
    </r>
    <r>
      <rPr>
        <sz val="8"/>
        <color theme="1"/>
        <rFont val="GE Inspira Medium"/>
        <family val="2"/>
        <charset val="162"/>
      </rPr>
      <t>Rated Power:</t>
    </r>
  </si>
  <si>
    <r>
      <t xml:space="preserve">Gerilim (kV):
</t>
    </r>
    <r>
      <rPr>
        <sz val="8"/>
        <color theme="1"/>
        <rFont val="GE Inspira Medium"/>
        <family val="2"/>
        <charset val="162"/>
      </rPr>
      <t>Rated Voltage:</t>
    </r>
  </si>
  <si>
    <r>
      <t xml:space="preserve">Müşteri :
</t>
    </r>
    <r>
      <rPr>
        <sz val="8"/>
        <color theme="1"/>
        <rFont val="GE Inspira Medium"/>
        <family val="2"/>
        <charset val="162"/>
      </rPr>
      <t>Client:</t>
    </r>
  </si>
  <si>
    <r>
      <t xml:space="preserve">Adres: 
</t>
    </r>
    <r>
      <rPr>
        <sz val="8"/>
        <color theme="1"/>
        <rFont val="GE Inspira Medium"/>
        <family val="2"/>
        <charset val="162"/>
      </rPr>
      <t xml:space="preserve">Location: </t>
    </r>
  </si>
  <si>
    <r>
      <t xml:space="preserve">Tarih:
</t>
    </r>
    <r>
      <rPr>
        <sz val="8"/>
        <color theme="1"/>
        <rFont val="GE Inspira Medium"/>
        <family val="2"/>
        <charset val="162"/>
      </rPr>
      <t xml:space="preserve">Date: </t>
    </r>
  </si>
  <si>
    <r>
      <t xml:space="preserve">BARKOD NO
</t>
    </r>
    <r>
      <rPr>
        <sz val="8"/>
        <color theme="1"/>
        <rFont val="GE Inspira Medium"/>
        <family val="2"/>
        <charset val="162"/>
      </rPr>
      <t>BARCODE NO</t>
    </r>
  </si>
  <si>
    <r>
      <t xml:space="preserve">SIRA NO
</t>
    </r>
    <r>
      <rPr>
        <sz val="8"/>
        <color theme="1"/>
        <rFont val="GE Inspira Medium"/>
        <family val="2"/>
        <charset val="162"/>
      </rPr>
      <t>ITEM NO</t>
    </r>
  </si>
  <si>
    <r>
      <t>ÖLÇÜ RESMİ POZ. NO</t>
    </r>
    <r>
      <rPr>
        <sz val="8"/>
        <color theme="1"/>
        <rFont val="GE Inspira Medium"/>
        <family val="2"/>
        <charset val="162"/>
      </rPr>
      <t xml:space="preserve">
DIMENSIONAL DRW. POS. NO</t>
    </r>
  </si>
  <si>
    <r>
      <rPr>
        <sz val="11"/>
        <rFont val="GE Inspira Medium"/>
        <family val="2"/>
        <charset val="162"/>
      </rPr>
      <t>Ölçü Resmi No:</t>
    </r>
    <r>
      <rPr>
        <sz val="10"/>
        <rFont val="GE Inspira Medium"/>
        <family val="2"/>
        <charset val="162"/>
      </rPr>
      <t xml:space="preserve">
</t>
    </r>
    <r>
      <rPr>
        <sz val="8"/>
        <rFont val="GE Inspira Medium"/>
        <family val="2"/>
        <charset val="162"/>
      </rPr>
      <t>Dimensional Drw. No:</t>
    </r>
  </si>
  <si>
    <t>Tekerlek Düzeni Res. No :</t>
  </si>
  <si>
    <t>Wheel Assembly Drw. No:</t>
  </si>
  <si>
    <t>Tek. Kod. No:</t>
  </si>
  <si>
    <t>Tek. Tesp. No:</t>
  </si>
  <si>
    <r>
      <rPr>
        <sz val="10"/>
        <color theme="1"/>
        <rFont val="GE Inspira Medium"/>
        <family val="2"/>
        <charset val="162"/>
      </rPr>
      <t>Sayfa No:</t>
    </r>
    <r>
      <rPr>
        <sz val="11"/>
        <color theme="1"/>
        <rFont val="GE Inspira Medium"/>
        <family val="2"/>
        <charset val="162"/>
      </rPr>
      <t xml:space="preserve">
</t>
    </r>
    <r>
      <rPr>
        <sz val="8"/>
        <color theme="1"/>
        <rFont val="GE Inspira Medium"/>
        <family val="2"/>
        <charset val="162"/>
      </rPr>
      <t>Page No:</t>
    </r>
  </si>
  <si>
    <r>
      <rPr>
        <b/>
        <sz val="14"/>
        <color rgb="FFFF0000"/>
        <rFont val="GE Inspira Medium"/>
        <family val="2"/>
        <charset val="162"/>
      </rPr>
      <t>ÇIKTI ALMA!</t>
    </r>
    <r>
      <rPr>
        <b/>
        <sz val="14"/>
        <color theme="1"/>
        <rFont val="GE Inspira Medium"/>
        <family val="2"/>
        <charset val="162"/>
      </rPr>
      <t xml:space="preserve">     ÇALIŞMA SAYFASI (KOLİ LİSTESİ DETAYI)     </t>
    </r>
    <r>
      <rPr>
        <b/>
        <sz val="14"/>
        <color rgb="FFFF0000"/>
        <rFont val="GE Inspira Medium"/>
        <family val="2"/>
        <charset val="162"/>
      </rPr>
      <t>ÇIKTI ALMA!</t>
    </r>
    <r>
      <rPr>
        <b/>
        <sz val="14"/>
        <color theme="1"/>
        <rFont val="GE Inspira Medium"/>
        <family val="2"/>
        <charset val="162"/>
      </rPr>
      <t xml:space="preserve">
</t>
    </r>
    <r>
      <rPr>
        <b/>
        <sz val="14"/>
        <color rgb="FFFF0000"/>
        <rFont val="GE Inspira Medium"/>
        <family val="2"/>
        <charset val="162"/>
      </rPr>
      <t xml:space="preserve"> DO NOT PRINT!   </t>
    </r>
    <r>
      <rPr>
        <sz val="14"/>
        <color theme="1"/>
        <rFont val="GE Inspira Medium"/>
        <family val="2"/>
        <charset val="162"/>
      </rPr>
      <t xml:space="preserve"> </t>
    </r>
    <r>
      <rPr>
        <b/>
        <sz val="14"/>
        <color theme="1"/>
        <rFont val="GE Inspira Medium"/>
        <family val="2"/>
        <charset val="162"/>
      </rPr>
      <t xml:space="preserve">WORKING PAGE (PACKING LIST DETAILS)   </t>
    </r>
    <r>
      <rPr>
        <b/>
        <sz val="14"/>
        <color rgb="FFFF0000"/>
        <rFont val="GE Inspira Medium"/>
        <family val="2"/>
        <charset val="162"/>
      </rPr>
      <t>DO NOT PRINT!</t>
    </r>
  </si>
  <si>
    <t>BQ023</t>
  </si>
  <si>
    <t>BZ150</t>
  </si>
  <si>
    <t>BZ151</t>
  </si>
  <si>
    <t>BZ160</t>
  </si>
  <si>
    <t>BZ152</t>
  </si>
  <si>
    <t>AE001</t>
  </si>
  <si>
    <t>BZ115</t>
  </si>
  <si>
    <t>No</t>
  </si>
  <si>
    <t>CF101</t>
  </si>
  <si>
    <t>AC600</t>
  </si>
  <si>
    <t>AC681</t>
  </si>
  <si>
    <t>BB036</t>
  </si>
  <si>
    <t>GD001</t>
  </si>
  <si>
    <t>GD009</t>
  </si>
  <si>
    <t>GS026</t>
  </si>
  <si>
    <t>AN701</t>
  </si>
  <si>
    <t>BQ150</t>
  </si>
  <si>
    <t>BR321</t>
  </si>
  <si>
    <t>BQ153</t>
  </si>
  <si>
    <t>BR130</t>
  </si>
  <si>
    <t>BR109</t>
  </si>
  <si>
    <t>CF050</t>
  </si>
  <si>
    <t>AA200</t>
  </si>
  <si>
    <t>AA392</t>
  </si>
  <si>
    <t>Buchholz Montajı</t>
  </si>
  <si>
    <t>GD002</t>
  </si>
  <si>
    <t>GD013</t>
  </si>
  <si>
    <t>BZ166</t>
  </si>
  <si>
    <t>CF061</t>
  </si>
  <si>
    <t>AA202</t>
  </si>
  <si>
    <t>CT601 ÷</t>
  </si>
  <si>
    <t>AP601</t>
  </si>
  <si>
    <t>CF601</t>
  </si>
  <si>
    <t>CF701</t>
  </si>
  <si>
    <t>GX 001</t>
  </si>
  <si>
    <t xml:space="preserve"> 
</t>
  </si>
  <si>
    <t>Seri No : 
Serial Nr.</t>
  </si>
  <si>
    <t>Uzun 
Long parts</t>
  </si>
  <si>
    <t>Ayaklar 
For on the cover mounting</t>
  </si>
  <si>
    <t xml:space="preserve">Kg. 
</t>
  </si>
  <si>
    <t>Kısa 
Short</t>
  </si>
  <si>
    <r>
      <t>ÖLÇÜ</t>
    </r>
    <r>
      <rPr>
        <sz val="8"/>
        <color theme="1"/>
        <rFont val="GE Inspira Medium"/>
        <family val="2"/>
        <charset val="162"/>
      </rPr>
      <t xml:space="preserve"> </t>
    </r>
    <r>
      <rPr>
        <sz val="10"/>
        <color theme="1"/>
        <rFont val="GE Inspira Medium"/>
        <family val="2"/>
        <charset val="162"/>
      </rPr>
      <t>RESMİ POZ.NO</t>
    </r>
    <r>
      <rPr>
        <sz val="8"/>
        <color theme="1"/>
        <rFont val="GE Inspira Medium"/>
        <family val="2"/>
        <charset val="162"/>
      </rPr>
      <t xml:space="preserve">
DIMENSIONAL DRW. POS. NO</t>
    </r>
  </si>
  <si>
    <t>BB085</t>
  </si>
  <si>
    <t>ADET</t>
  </si>
  <si>
    <t>KG</t>
  </si>
  <si>
    <t>SET</t>
  </si>
  <si>
    <t>:</t>
  </si>
  <si>
    <t>Ölçü Resmi Nr. / Dimensional Drw.Nr.</t>
  </si>
  <si>
    <t>Nakil Ölçü Resmi Nr./Transport Dimensional Drw.Nr.</t>
  </si>
  <si>
    <t xml:space="preserve">Project Manager                                  </t>
  </si>
  <si>
    <t>Transformatör yağlı, kapak altından …………. mm indirilmiş</t>
  </si>
  <si>
    <t>Transformer Partly Filled With Oil Up to ………….mm Below Tank Cover</t>
  </si>
  <si>
    <t>Transformatör yağsız / Transformer Without Oil</t>
  </si>
  <si>
    <t>ÖLÇÜLER DEGİŞTİ</t>
  </si>
  <si>
    <t>ÖLÇÜLER DEGİŞEBİLİR</t>
  </si>
  <si>
    <t>İLAVE SANDIK</t>
  </si>
  <si>
    <t>Transformer Delivery Date</t>
  </si>
  <si>
    <t>Accessories Delivery Date</t>
  </si>
  <si>
    <t>Kısmı Ambalaj</t>
  </si>
  <si>
    <t>Prepared by</t>
  </si>
  <si>
    <t>ÇEKİ LİSTESİ /PACKING LIST</t>
  </si>
  <si>
    <t xml:space="preserve">Gerilim / Rated Voltage (kV)        </t>
  </si>
  <si>
    <t xml:space="preserve">Aksesuar Sevk Tarihi </t>
  </si>
  <si>
    <t>KOLİ 
PACKAGE</t>
  </si>
  <si>
    <t>AĞIRLIK
WEIGHT</t>
  </si>
  <si>
    <t>ÖLÇÜLER
DIMENSIONS</t>
  </si>
  <si>
    <t>MALZEME
MATERIAL</t>
  </si>
  <si>
    <t>Koli
Case
Nr:</t>
  </si>
  <si>
    <t>Adet
Quantity</t>
  </si>
  <si>
    <t xml:space="preserve">Ambalaj Cinsi
Package Type                                </t>
  </si>
  <si>
    <t>Cinsi
Description</t>
  </si>
  <si>
    <t>Darbe Kaydedici Geçici İthal olup sevkiyat sonrası Kalite Kontrola'a teslim
Shock recorder delivered temporarily; will be given to Quality Control after imported back</t>
  </si>
  <si>
    <t>Trafo yağsız sevk. Yağ müşteri tarafından temin edilecek
Transformer delivered without oil. Oil will be supplied by the client.</t>
  </si>
  <si>
    <t>Müşteri dosyası fan dolabı içinde sevk
Transformer instruction manual file delivered in fan control cubicle.</t>
  </si>
  <si>
    <t xml:space="preserve">Fb.Nr./ Serial Nr               </t>
  </si>
  <si>
    <t xml:space="preserve">Güç / Rated Power (MVA)     </t>
  </si>
  <si>
    <t>Transformatör</t>
  </si>
  <si>
    <t>GRID   SOLUTIONS   ENERJI    END.  A.S 
BARIS MH.  GUNEY YANYOL CD NO.320 41410, GEBZE KOCAELI- TURKEY TEL+902626483371 FAX+902626427040</t>
  </si>
  <si>
    <t xml:space="preserve">                                                        </t>
  </si>
  <si>
    <t xml:space="preserve">NET </t>
  </si>
  <si>
    <t>GROSS</t>
  </si>
  <si>
    <t>DIMENSIONS (CM)</t>
  </si>
  <si>
    <t>PIECES</t>
  </si>
  <si>
    <t>Content of The</t>
  </si>
  <si>
    <t>CASE NUMBER</t>
  </si>
  <si>
    <t>Packages</t>
  </si>
  <si>
    <t>WEIGHT (Kgs)</t>
  </si>
  <si>
    <t>WEIGHT(Kgs)</t>
  </si>
  <si>
    <t>L</t>
  </si>
  <si>
    <t>W</t>
  </si>
  <si>
    <t>H</t>
  </si>
  <si>
    <t>M3</t>
  </si>
  <si>
    <t>Cases</t>
  </si>
  <si>
    <t>W.CRATE</t>
  </si>
  <si>
    <t>TRANSFORMER MAIN BODY</t>
  </si>
  <si>
    <t>W.CASE</t>
  </si>
  <si>
    <t>TOTAL</t>
  </si>
  <si>
    <t xml:space="preserve"> PACKING LIST</t>
  </si>
  <si>
    <t>1 / 1</t>
  </si>
  <si>
    <t>Trafo Sevk Tarihi :</t>
  </si>
  <si>
    <t>Hazır Olan Malzemeler</t>
  </si>
  <si>
    <r>
      <t xml:space="preserve">Müşteri / Client </t>
    </r>
    <r>
      <rPr>
        <b/>
        <sz val="9"/>
        <rFont val="FuturaA Bk BT"/>
        <family val="2"/>
        <charset val="162"/>
      </rPr>
      <t>:</t>
    </r>
  </si>
  <si>
    <r>
      <t xml:space="preserve">Adres / Location </t>
    </r>
    <r>
      <rPr>
        <b/>
        <sz val="9"/>
        <rFont val="FuturaA Bk BT"/>
        <family val="2"/>
        <charset val="162"/>
      </rPr>
      <t>:</t>
    </r>
  </si>
  <si>
    <t>Tarih       :
Date
Sayfa Nr :
Page Nr  :</t>
  </si>
  <si>
    <t>FB NR:</t>
  </si>
  <si>
    <t>Transport 
CBM</t>
  </si>
  <si>
    <t>NET</t>
  </si>
  <si>
    <t xml:space="preserve">BRUT </t>
  </si>
  <si>
    <t>TOPLAM YAG :</t>
  </si>
  <si>
    <t>YAG CİNSİ :</t>
  </si>
  <si>
    <t>EMİLEN YAG MİKTARI</t>
  </si>
  <si>
    <t>DİPTE KALAN YAG HESABI</t>
  </si>
  <si>
    <t>UZUNLUK</t>
  </si>
  <si>
    <t>GENİŞLİK</t>
  </si>
  <si>
    <t>TOPLAM SEVK OLACAK YAG MİKTARI</t>
  </si>
  <si>
    <t>Transformatör
\Transformer Main Body</t>
  </si>
  <si>
    <t>Darbe Kayıt Cihazı 
\Shock Recorder</t>
  </si>
  <si>
    <t>Firma plakası 
\Name Plate</t>
  </si>
  <si>
    <t>İşaret Plakası
\Rating Plate</t>
  </si>
  <si>
    <t>Donanım Plakası
\Piping Plate</t>
  </si>
  <si>
    <t>Genleşme Kabı 
\Conservator</t>
  </si>
  <si>
    <t>Nem Alıcı 
\Dehydrating Breather</t>
  </si>
  <si>
    <t>Radyatör 
\Radiator</t>
  </si>
  <si>
    <t>YG. Buşingi 
\HV Bushing</t>
  </si>
  <si>
    <t>Soğutucu Borusu 
\Cooler Pipe</t>
  </si>
  <si>
    <t>Soğutucu Borusu Adaptör
\Cooler Pipe</t>
  </si>
  <si>
    <t>Kısa Boru pompa önüne gelen\ Short Pipe</t>
  </si>
  <si>
    <t>Vantilatör 
\Cooling Fan</t>
  </si>
  <si>
    <t>Kollektör 
\Collector</t>
  </si>
  <si>
    <t>AG. Kablo Kutusu 
\LV Cable Box</t>
  </si>
  <si>
    <t>K. K. Konsolu Çapraz Laması
\Cable box support bar</t>
  </si>
  <si>
    <t xml:space="preserve">Merdiven 
\Ladder </t>
  </si>
  <si>
    <t>Buchholz Uzun Boru 
\Buchholz Relay Pipe</t>
  </si>
  <si>
    <t>Şalter Nem Alıcı Borusu 
\OLTC Dehydrating Breather Pipe</t>
  </si>
  <si>
    <t>Şalter Yağ Alma Borusu 
\OLTC Oil Sampling Pipe</t>
  </si>
  <si>
    <t>Şalter Bölmesi Boşaltma Borusu 
\OLTC Oil Draining Pipe</t>
  </si>
  <si>
    <t>Trafo Yağ Boşaltma Borusu 
\Transformer Oil Draining Pipe</t>
  </si>
  <si>
    <t>Şalter Besleme Borusu 
\OLTC Supply Pipe</t>
  </si>
  <si>
    <t>Kollektör Taşıyıcı Konsolları
\Collector Support</t>
  </si>
  <si>
    <t>Kollektör Besleme Borusu
\Collector Supply Pipe</t>
  </si>
  <si>
    <t>Depo Konsolu 
\Conservator Support</t>
  </si>
  <si>
    <t>Depo Konsol Çaprazı 
\Conservator Cross Support</t>
  </si>
  <si>
    <t>YG. Dom Borusu 
\HV Bushing Turret Pipe</t>
  </si>
  <si>
    <t>Fan U Demiri 
\Fan U Support Bar</t>
  </si>
  <si>
    <t>Boru Taşıyıcı 
\Pipe Support</t>
  </si>
  <si>
    <t>Vantilatör Montajı 
\Fan Assembly Material</t>
  </si>
  <si>
    <t>U Kelepçesi 
\U Profile Holder</t>
  </si>
  <si>
    <t>Buchholz Rölesi 
\Buchholz Relay</t>
  </si>
  <si>
    <t>Buchholz Borusu 
\Buchholz Relay Pipe</t>
  </si>
  <si>
    <t>Buchholz Montajı 
\Buch. Relay Assembly Material</t>
  </si>
  <si>
    <t>AG. Buşingi 
\LV Bushing</t>
  </si>
  <si>
    <t>Bara İrtibat 
\Terminal Connector</t>
  </si>
  <si>
    <t>Saplama İrtibat 
\Terminal Stud</t>
  </si>
  <si>
    <t>Somun 
\Hexagon Nut</t>
  </si>
  <si>
    <t>Parça Baskı Üst 
\Top Cap</t>
  </si>
  <si>
    <t>Parça Baskı Alt 
\Bottom Cap</t>
  </si>
  <si>
    <t>Conta J 
\Sealing Ring “J”</t>
  </si>
  <si>
    <t>Conta M 
\Gasket M</t>
  </si>
  <si>
    <t>Conta Ara 
\Gasket</t>
  </si>
  <si>
    <t>Basınç Ventili 
\Pressure Relief Device</t>
  </si>
  <si>
    <t>Şalter Rölesi 
\OLTC Relay</t>
  </si>
  <si>
    <t>Röle Montajı 
\OLTC Relay Assembly Material</t>
  </si>
  <si>
    <t>Silikagel 
\Silicagel</t>
  </si>
  <si>
    <t>Çekomastik 
\Sealing Material</t>
  </si>
  <si>
    <t>Sertleştirici 
\Paint Hardener</t>
  </si>
  <si>
    <t>Fırça 
\Paint Brush</t>
  </si>
  <si>
    <t>Radyatör Gergi Montajı 
\Radiator Fixing Bar</t>
  </si>
  <si>
    <t>YG. Nötr Buşingi 
\HV Neutral Bushing</t>
  </si>
  <si>
    <t>Uç Barası 
\HV Neutral Bushing Connector</t>
  </si>
  <si>
    <t>İzole Boru 
\İnsulation Pipe</t>
  </si>
  <si>
    <t>Başlık  
\Head</t>
  </si>
  <si>
    <t>Pul 
\Washer</t>
  </si>
  <si>
    <t>Kademe Göstergesi 
\Position Indicator</t>
  </si>
  <si>
    <t>Kayıt Cihazı 
\Recording Device</t>
  </si>
  <si>
    <t>Termometre 
\Thermometer</t>
  </si>
  <si>
    <t>Kablo Kutusu Contası 
\Cable Box Gasket</t>
  </si>
  <si>
    <t>Pompa 
\Oil Circulation Pump</t>
  </si>
  <si>
    <t>DN200 Vana 
\DN 200 Type Valve</t>
  </si>
  <si>
    <t>Yağ Akış İhbarcısı 
\Oil Flow Indicator</t>
  </si>
  <si>
    <t>Kablo Başlığı 
\Cable Gland</t>
  </si>
  <si>
    <t>Soğutma Borusu Kelepçesi 
\Cooling Pipe Clamp</t>
  </si>
  <si>
    <t>Kollektör Takviye Montajı 
\Collector Support Assy. Mate.</t>
  </si>
  <si>
    <t>YG. Domları 
\HV Turret</t>
  </si>
  <si>
    <t>AG. Domları 
\LV Turret</t>
  </si>
  <si>
    <t>Tersiyer Domu 
\Tertiary Bushing Turret</t>
  </si>
  <si>
    <t xml:space="preserve">Sogutma Sistemi Merdiveni
\Ladder </t>
  </si>
  <si>
    <t>Basınç Ventili Borusu 
\Pressure Ventilated Pipe</t>
  </si>
  <si>
    <t>DN100 Vana
\ DN100 Valve</t>
  </si>
  <si>
    <t>Kollektör Ana Konsl.Takviyesi 
\Collector Support</t>
  </si>
  <si>
    <t>Kollektör Konsl.Takviyesi 
\Collector Support</t>
  </si>
  <si>
    <t>Kollektör Ana Konsol
\Collector Support</t>
  </si>
  <si>
    <t>Kollektör Ara Konsol
\Collector Support</t>
  </si>
  <si>
    <t>Kablo Kanal  Konsl.(Lama)
\Collector Support</t>
  </si>
  <si>
    <t>Tersiyer Bushıng
\Tertıary Bushıng</t>
  </si>
  <si>
    <t>Uç Barası 
\HV Bushing Terminal Connector</t>
  </si>
  <si>
    <t>YG.Buşingi 
\HV Bushing</t>
  </si>
  <si>
    <t>AG.Buşingi 
\LV Bushing</t>
  </si>
  <si>
    <t>Uç Barası 
\LV Bushing Terminal Connector</t>
  </si>
  <si>
    <t>Trafo Nem Alıcı Borusu
\Trans. Dehydrating BreatherPipe</t>
  </si>
  <si>
    <t>MESSKO TYPE:MFI100-O</t>
  </si>
  <si>
    <t>Kompanzatör DN 80
\Compensator DN 80</t>
  </si>
  <si>
    <t>DN250 Vana 
\DN 250 Type Valve</t>
  </si>
  <si>
    <t>Gaz alma cihazı
\Gas Analysis Device</t>
  </si>
  <si>
    <t>MS 3000 Monitoring System
\MS 3000 Mon.Syst.</t>
  </si>
  <si>
    <t>Fıber Optık Sistemleri
\Fıber Optıc Sensers and Access</t>
  </si>
  <si>
    <t>VC 100   BU Gerilim Regülatörü 
\VC 100 Voltage Regulator</t>
  </si>
  <si>
    <t>Pozisyon Göstergesi
\Position Indicator</t>
  </si>
  <si>
    <t>Kablo Başlığı Montajı
\Cable Gland Assembly</t>
  </si>
  <si>
    <t>Kablo Kutusu Montajı 
\Cable Box Assembly Material</t>
  </si>
  <si>
    <t>RTCC Dolabı
\RTCC Cabınet</t>
  </si>
  <si>
    <t>Mesnet 
\Support</t>
  </si>
  <si>
    <t>Mesnet Montajı
\Support Asembly</t>
  </si>
  <si>
    <t>Bakır Bara Montajı
\Copper Bar Assembly</t>
  </si>
  <si>
    <t>SogT Sistm.Merdiveni Konsolu
\Ladder Console</t>
  </si>
  <si>
    <t>Topraklama Barası 
\Earthing Bar</t>
  </si>
  <si>
    <t>Sıcaklık Göstergesi 
\Temperature Indicator</t>
  </si>
  <si>
    <t>Sogutucu Boru Taşıyıcı 
\Pipe Support</t>
  </si>
  <si>
    <t>Soğutucu Borusu Kompanzator
\Cooler Pipe Companzator</t>
  </si>
  <si>
    <t>M16X70 Civata Somun Pul Conta
\Bolt Nut Washer Gasket</t>
  </si>
  <si>
    <t>YG.Yaglı Kablo Kutusu 
\HV Turret</t>
  </si>
  <si>
    <t>İletken Sevk Kabı
\Conductıve Box</t>
  </si>
  <si>
    <t>ŞALTER
\O.L.T.C</t>
  </si>
  <si>
    <t>YG Kablo Kutusu Takviyesi Montj.
\Cable Box Support Assembly</t>
  </si>
  <si>
    <t>Filitre Pres Borusu Montajı
\Filter Press Pipe Assembly</t>
  </si>
  <si>
    <t>Ark Boynuzu Üst 
\Arcing Horn – Top</t>
  </si>
  <si>
    <t>Ark Boynuzu Alt 
\Arcing Horn – Bottom</t>
  </si>
  <si>
    <t>DN80 Vana 
\DN 80 Type Valve</t>
  </si>
  <si>
    <t>Geri Dönmez Vana 
\Check Valve</t>
  </si>
  <si>
    <t>DN40 Vana 
\DN 40 Type Valve</t>
  </si>
  <si>
    <t>AG. N Buşingi 
\LV Bushing</t>
  </si>
  <si>
    <t xml:space="preserve">Ark Boynuzu Alt 
\Arcing Horn – Bottom </t>
  </si>
  <si>
    <t>Rad. Gergi Köşebenti 
\Radiator Fixing Bar</t>
  </si>
  <si>
    <t>YG. Kablo Kutusu Borusu 
\HV Cable Box Pipe</t>
  </si>
  <si>
    <t>Birleştirme Laması 
\Connection Bar</t>
  </si>
  <si>
    <t>Gaz Analiz Cihazı 
\Gas Analysis Device</t>
  </si>
  <si>
    <t>Titreşim önleme takozu 
\Anti vibration pad</t>
  </si>
  <si>
    <t>Merkezleme Burcu 
\Centering</t>
  </si>
  <si>
    <t>Parafudr Alüminyum yuvarlak 
\Aluminium surge arrester</t>
  </si>
  <si>
    <t>Eşanjör 
\Heat Exchanger</t>
  </si>
  <si>
    <t>Eşanjör Borusu 
\Heat Exchanger Pipe</t>
  </si>
  <si>
    <t>Parafudr Buşingi 
\Surge Arrester Bushing</t>
  </si>
  <si>
    <t>Topraklama Direnci 
\Earthing Resistance</t>
  </si>
  <si>
    <t>İlave Depo Konsolu 
\Additional Conservator Support</t>
  </si>
  <si>
    <t>Depo Konsol Ara Bağ. 
\Conservator Support Connection</t>
  </si>
  <si>
    <t>İlave Konsol Çaprazı 
\Conservator Cross Supp. (Add.)</t>
  </si>
  <si>
    <t>Gaz Alma Borusu 
\Gas Sampling Pipe</t>
  </si>
  <si>
    <t>Parafudr Konsolu 
\Surge Arrester Support</t>
  </si>
  <si>
    <t xml:space="preserve">Parafudr Konsolu 
\Surge Arrester Support </t>
  </si>
  <si>
    <t>Filtre Cihazı Borusu 
\Filter Device Pipe</t>
  </si>
  <si>
    <t>Yay Yaprak 
\Spring Washer</t>
  </si>
  <si>
    <t>U Bağlantı Demiri 
\U Connection Iron Bar</t>
  </si>
  <si>
    <t>Bağlantı Lama Montajı 
\Fan Conn. Bar Assembly Material</t>
  </si>
  <si>
    <t>Kısa YG. Dom Borusu 
\HV Turret Pipe (Short)</t>
  </si>
  <si>
    <t>Kısa Şalter Besleme Borusu 
\OLTC Supply Pipe (Short)</t>
  </si>
  <si>
    <t>İzole Boru 
\Insulation Pipe</t>
  </si>
  <si>
    <t>Başlık 
\Head</t>
  </si>
  <si>
    <t xml:space="preserve">Parça Baskı Üst 
\Top Cap </t>
  </si>
  <si>
    <t>Tersiyer Buşingi 
\Tertiary Bushing</t>
  </si>
  <si>
    <t>Yükleme Plakası 
\Loading Plate</t>
  </si>
  <si>
    <t>Bağlantı Plakası 
\Connection Plate</t>
  </si>
  <si>
    <t>Ger. Ayar Dolabı Malzemesi 
\Voltage Regulation Panel Mate.</t>
  </si>
  <si>
    <t>Basınç Rölesi 
\Pressure Relay</t>
  </si>
  <si>
    <t>Çubuk Termometre 
\Rod Thermometer</t>
  </si>
  <si>
    <t>Bez Bantı Topraklama 
\Earthing Cloth Band</t>
  </si>
  <si>
    <t>Su Akış İhbarcısı 
\Water Flow Indicator</t>
  </si>
  <si>
    <t>Flexible Bara 
\Flexible Bar</t>
  </si>
  <si>
    <t>Bakır Bara 
\Copper Bar</t>
  </si>
  <si>
    <t>Gerilim Ayar Dolabı 
\Voltage Regulation Panel</t>
  </si>
  <si>
    <t>Eşanjör Konsolu 
\Heat Exchanger Support</t>
  </si>
  <si>
    <t>Hydran Cihazı 
\Hydran Device</t>
  </si>
  <si>
    <t>Vana Kilitleme Tertibatı 
\Valve Blocking Assembly</t>
  </si>
  <si>
    <t>K.Kutusu Bakır Barası 
\Cable Box Copper Bar</t>
  </si>
  <si>
    <t>Asma Kilit 
\Pad Lock</t>
  </si>
  <si>
    <t>Su Borusu 
\Water Pipe</t>
  </si>
  <si>
    <t>Yedek Filtre 
\Spare Filter</t>
  </si>
  <si>
    <t>Filtre Cihazı Manometresi 
\Filter Device Manometer</t>
  </si>
  <si>
    <t>Gaz Alma Borusu Kelepçesi 
\Gas Ventilating Pipe Clamp</t>
  </si>
  <si>
    <t>Filtre Cihazı 
\Filter Device</t>
  </si>
  <si>
    <t>Kompanzatör DN 25 
\Compensator DN 25</t>
  </si>
  <si>
    <t>Kollektör Takviyesi 
\Collector Support</t>
  </si>
  <si>
    <t>Conta takımı (müşteri için) 
\Gasket Set (Spare)</t>
  </si>
  <si>
    <t>Parafudr Konsol Çaprazı  
\Surge Arrester Cross Support</t>
  </si>
  <si>
    <t>Parafudr Konsol Plakası  
\Surge Arrester Support Plate</t>
  </si>
  <si>
    <t>Parafudr Konsol Montajı 
\SurgeArrester Sup. Assy. Mate.</t>
  </si>
  <si>
    <t>YG. Nötr Bağlantı Barası 
\HV Neutral Connection bar</t>
  </si>
  <si>
    <t>YG. Buşing Bağlantı Barası 
\HV Bushing Connection bar</t>
  </si>
  <si>
    <t>Şalter dirsek boru 
\O.L.T.C. Elbow pipe</t>
  </si>
  <si>
    <t>Şalter ara mil 
\O.L.T.C. driver shaft</t>
  </si>
  <si>
    <t>Şalter ara mil muhafazası 
\O.L.T.C. driver shaft cover</t>
  </si>
  <si>
    <t>Köşe şanzıman 
\O.L.T.C. driver gear box.</t>
  </si>
  <si>
    <t>Motorantrieb  
\O.L.T.C. driver box.</t>
  </si>
  <si>
    <t>Adaptör flanş 
\Adaptor flange</t>
  </si>
  <si>
    <t>Dolap taşıyıcı konsolu 
\Cable box assembly console</t>
  </si>
  <si>
    <t>Çek valf 
\One way valve</t>
  </si>
  <si>
    <t>Parafudur yazıcısı 
\Lightning arrester caunter</t>
  </si>
  <si>
    <t>Yuvarlak dom saplaması 
\Square turret stud</t>
  </si>
  <si>
    <t>Su Akış İhbarcısı montajı 
\Water Flow Indicator Assy. Mate.</t>
  </si>
  <si>
    <t>Radyatör Yag Alma Vanası
\Radıator Oil Take -Off Valve</t>
  </si>
  <si>
    <t>Rad.Yag Alma Vanası Montajı
\Rad.Oil Removal Valve Mounting</t>
  </si>
  <si>
    <t>Traves Konsolu
\Traves Console</t>
  </si>
  <si>
    <t>Şalter Kazanı Alt
\Destek Konsolları</t>
  </si>
  <si>
    <t>Soğutucu Borusu Takviyesi
\Cooler Pipe Support</t>
  </si>
  <si>
    <t>Sogutma Sistemi Konsolları
\Cooler Consoles</t>
  </si>
  <si>
    <t>Sıcaklık Göstergesi 
\QUALITROL ITM509-T</t>
  </si>
  <si>
    <t>Pul Kontak
\Pul Kontak</t>
  </si>
  <si>
    <t>Vana Küresel Dişli
\Valve 1/2''</t>
  </si>
  <si>
    <t>Vana Kelebek
\Valve Butterfly</t>
  </si>
  <si>
    <t>DN25 Vana 
\DN 25 Type Valve</t>
  </si>
  <si>
    <t>DN50 Vana 
\DN 50 Type Valve</t>
  </si>
  <si>
    <t>DN100 Vana 
\DN 100 Type Valve</t>
  </si>
  <si>
    <t>DN125 Vana 
\DN 125 Type Valve</t>
  </si>
  <si>
    <t>DN150 Vana 
\DN 150 Type Valve</t>
  </si>
  <si>
    <t>DN300 Vana 
\DN 300 Type Valve</t>
  </si>
  <si>
    <t>Kompanzatör DN 40
\Compensator DN 40</t>
  </si>
  <si>
    <t>Kompanzatör DN 50
\Compensator DN 50</t>
  </si>
  <si>
    <t>Kompanzatör DN 100 
\Compensator DN 100</t>
  </si>
  <si>
    <t>Kompanzatör DN 125
\Compensator DN 125</t>
  </si>
  <si>
    <t>Kompanzatör DN 150
\Compensator DN 150</t>
  </si>
  <si>
    <t>Kompanzatör DN 200
\Compensator DN 200</t>
  </si>
  <si>
    <t>Tersiyer Kablo Kutusu 
\Tertiary Cable Box</t>
  </si>
  <si>
    <t>Transport Konsolu
\Transport Console</t>
  </si>
  <si>
    <t>FC112044</t>
  </si>
  <si>
    <t>............ mm KOD: ............</t>
  </si>
  <si>
    <t>Uç Barası 
\N Bushing Terminal Connector</t>
  </si>
  <si>
    <t>N. Dom Borusu 
\N Bushing Turret Pipe</t>
  </si>
  <si>
    <t>YG Dom Destek Konsolu
\HV Turret Console</t>
  </si>
  <si>
    <t>Rad.İlave Borusu
\Radıator Pipe</t>
  </si>
  <si>
    <t>FC3007251-08</t>
  </si>
  <si>
    <t>FC3007251-06</t>
  </si>
  <si>
    <t>DN 50 Vana
\DN 50 Type Valve</t>
  </si>
  <si>
    <t>DN 50 Vana Montajı
\DN 50 Type Valve Assembly</t>
  </si>
  <si>
    <t>FC4324042</t>
  </si>
  <si>
    <t>FC403895</t>
  </si>
  <si>
    <t>FC4328697</t>
  </si>
  <si>
    <t>FCY601020001</t>
  </si>
  <si>
    <t>FC4329339</t>
  </si>
  <si>
    <t>Ankraj Saplaması M30x1000 (8.8)
\Anchorage Stud M30x1000</t>
  </si>
  <si>
    <t>FC4329340</t>
  </si>
  <si>
    <t>Ankrajlama Kimyasalı
\Anchorage Chemistry</t>
  </si>
  <si>
    <t>FC4327254</t>
  </si>
  <si>
    <t>Somun M30
\Hexagon Nut</t>
  </si>
  <si>
    <t>FC3000500-43</t>
  </si>
  <si>
    <t>Pul 31,0x60,0x10,0
\Washer</t>
  </si>
  <si>
    <t xml:space="preserve">CT601 </t>
  </si>
  <si>
    <t>Kablo Kutusu Konsolu 
\Cable box support</t>
  </si>
  <si>
    <t>Tekerlek Düzeni 
\Wheel Assembly</t>
  </si>
  <si>
    <t>İki Parçalı Flanş 
\Flange</t>
  </si>
  <si>
    <t>Tekerlek Freni 
\Wheel Blocking</t>
  </si>
  <si>
    <t>FC3007251-03</t>
  </si>
  <si>
    <t>FC3007251-05</t>
  </si>
  <si>
    <t>FC3007251-09</t>
  </si>
  <si>
    <t>FC3007251-10</t>
  </si>
  <si>
    <t>FC3007251-11</t>
  </si>
  <si>
    <t>Depo üstünde montajlı
\Mounted on the conservator</t>
  </si>
  <si>
    <t>Civata Somun Pul Conta
\Bolt Nut Washer  Gasket</t>
  </si>
  <si>
    <t>Civata Somun Pul
\Bolt Nut Washer</t>
  </si>
  <si>
    <t>Civata Somun Pul Conta
\Bolt Nut Washer Gasket</t>
  </si>
  <si>
    <t>Civata Somun Pul Conta
\ Bolt Nut Washer Gasket</t>
  </si>
  <si>
    <t xml:space="preserve">Civata Somun Pul 
\ Bolt Nut Washer </t>
  </si>
  <si>
    <t>Genişlik
Width
(mm)</t>
  </si>
  <si>
    <t>Uzunluk
Length
(mm)</t>
  </si>
  <si>
    <t>Yükseklik
Height
(mm)</t>
  </si>
  <si>
    <t>Brüt
Gross
(kg)</t>
  </si>
  <si>
    <r>
      <rPr>
        <sz val="9"/>
        <color theme="1"/>
        <rFont val="GE Inspira Medium"/>
        <charset val="162"/>
      </rPr>
      <t>KONTROL</t>
    </r>
    <r>
      <rPr>
        <sz val="10"/>
        <color theme="1"/>
        <rFont val="GE Inspira Medium"/>
        <family val="2"/>
        <charset val="162"/>
      </rPr>
      <t xml:space="preserve">
</t>
    </r>
    <r>
      <rPr>
        <sz val="8"/>
        <color theme="1"/>
        <rFont val="GE Inspira Medium"/>
        <family val="2"/>
        <charset val="162"/>
      </rPr>
      <t>CHECK</t>
    </r>
  </si>
  <si>
    <r>
      <rPr>
        <sz val="8"/>
        <color theme="1"/>
        <rFont val="GE Inspira Medium"/>
        <charset val="162"/>
      </rPr>
      <t>PAKETLEYEN</t>
    </r>
    <r>
      <rPr>
        <sz val="11"/>
        <color theme="1"/>
        <rFont val="GE Inspira Medium"/>
        <family val="2"/>
        <charset val="162"/>
      </rPr>
      <t xml:space="preserve">
</t>
    </r>
    <r>
      <rPr>
        <sz val="8"/>
        <color theme="1"/>
        <rFont val="GE Inspira Medium"/>
        <family val="2"/>
        <charset val="162"/>
      </rPr>
      <t>PACKER</t>
    </r>
  </si>
  <si>
    <t>Net
Net
(kg)</t>
  </si>
  <si>
    <t>FCT00704866</t>
  </si>
  <si>
    <t>FCT00704868</t>
  </si>
  <si>
    <t>FCT00717287</t>
  </si>
  <si>
    <t xml:space="preserve">AD </t>
  </si>
  <si>
    <t>KAZAN
\TANK</t>
  </si>
  <si>
    <t>AG. Dom Borusu 
\LV Bushing Turret Pipe</t>
  </si>
  <si>
    <t>DN100 Vana Montajı
\DN100 Valve Assembly</t>
  </si>
  <si>
    <t>YG Dom  Rölesi 
\OLTC Relay</t>
  </si>
  <si>
    <t>ÜST KOD
\TOP CODE</t>
  </si>
  <si>
    <t>FC3097771</t>
  </si>
  <si>
    <t>FC401212</t>
  </si>
  <si>
    <t>FC401220</t>
  </si>
  <si>
    <t>FC3095004-01</t>
  </si>
  <si>
    <t>YG. Buşingi Montajı
\HV Bushing Assembly</t>
  </si>
  <si>
    <t>Yağ Boşaltma Tertibatı
\Oil Discharge Assembly</t>
  </si>
  <si>
    <t>Rad.Klepe Vanası
\Rad.Klepe Valve</t>
  </si>
  <si>
    <t>Rad.Klepe Vanası Saplaması
\Rad.Klepe Valve Stud</t>
  </si>
  <si>
    <t>Rad.Klepe Vanası Contası
\Rad.Klepe Valve Gasket</t>
  </si>
  <si>
    <t>Rad.İlave Borusu Contası
\Radıator Pipe Gasket</t>
  </si>
  <si>
    <t>Basınç Ventili Contası
\Pressure Relief Device Gasket</t>
  </si>
  <si>
    <t>Topraklama Montajı
\Grounding Installation</t>
  </si>
  <si>
    <t>KARE PARÇA
\SQUARE PART</t>
  </si>
  <si>
    <t>Son Montaj Resmi Nr./Final Assembly Drw.Nr.</t>
  </si>
  <si>
    <t>Nakil Ölçü Resmi No:</t>
  </si>
  <si>
    <t>Son Montaj resmi No:</t>
  </si>
  <si>
    <t>Kablo Topraklama Civata Pul
\Cable Grounding Bolt Washer</t>
  </si>
  <si>
    <t>BZ120</t>
  </si>
  <si>
    <t>YDK</t>
  </si>
  <si>
    <t>GD010</t>
  </si>
  <si>
    <t xml:space="preserve">Civata Somun Pul 
\Bolt Nut Washer </t>
  </si>
  <si>
    <t>Parafudur Darbe Sayacı Montajı
\Surge Arrester Pulse Counter Installation</t>
  </si>
  <si>
    <t>Hydran Cihazı Montajı
\Hydran Device Assembly</t>
  </si>
  <si>
    <t>FC3093901</t>
  </si>
  <si>
    <t>FC17731</t>
  </si>
  <si>
    <t>FCT00800458</t>
  </si>
  <si>
    <t>FC12631</t>
  </si>
  <si>
    <t xml:space="preserve">6 Kg. 
</t>
  </si>
  <si>
    <t>Civata
\Bolt</t>
  </si>
  <si>
    <t xml:space="preserve">Pul 
\Washer </t>
  </si>
  <si>
    <t>Mesnet (Bushıng Mesnet İzalatörü)
\Support</t>
  </si>
  <si>
    <t>Kelepçe
\Clamp</t>
  </si>
  <si>
    <t>FC3095251-06</t>
  </si>
  <si>
    <t>GS020</t>
  </si>
  <si>
    <t>YG.N.Buşingi 
\HV.N Bushing</t>
  </si>
  <si>
    <t>CONSERVATOR</t>
  </si>
  <si>
    <t>RADIATOR</t>
  </si>
  <si>
    <t>ACCESSORIES</t>
  </si>
  <si>
    <t>HV BUSHING</t>
  </si>
  <si>
    <t>FC4324045</t>
  </si>
  <si>
    <t>FC4324045-01</t>
  </si>
  <si>
    <t>FC4324046</t>
  </si>
  <si>
    <t>FC4324048</t>
  </si>
  <si>
    <t>Gri Astar Boya 
\Paint Gray</t>
  </si>
  <si>
    <t>FC4324049</t>
  </si>
  <si>
    <t>Beyaz Astar Boya
\Paint White</t>
  </si>
  <si>
    <t>EPOTAN HS MASTIC GRİ BA124G2305
\1.KAT ASTAR  3 KG</t>
  </si>
  <si>
    <t>YÜKSEK KATILI EPOKSİ ASTAR (RAL 7042)
\ARAKAT ASTAR  3 KG</t>
  </si>
  <si>
    <t>ASTAR EPOXY SERT İLE (RAL 9010 )
\İç ASTAR  1 KG</t>
  </si>
  <si>
    <t xml:space="preserve">0,7 Kg. 
</t>
  </si>
  <si>
    <t>FC3006206-02</t>
  </si>
  <si>
    <t>Üst Kod
Top Code</t>
  </si>
  <si>
    <t>FLANS KOR DN40 KELMAN MONT.</t>
  </si>
  <si>
    <t>FC3096319-03</t>
  </si>
  <si>
    <t>Fekes Hortum
\Flex Hose</t>
  </si>
  <si>
    <t>FLEKS HORTUM L=20 METRE</t>
  </si>
  <si>
    <t>FCT00091978</t>
  </si>
  <si>
    <t>Trafo Üzeri Emniyet Direği
\Safety Pole on Transformer</t>
  </si>
  <si>
    <t>FCT00920169</t>
  </si>
  <si>
    <t>Metal Parça Geri Sarımlı Emniyet Halatı
\Metal Part Retractable Safety Rope</t>
  </si>
  <si>
    <t>FCT00684174</t>
  </si>
  <si>
    <t>Metal Parça Merdiven Emniyet Teli
\Metal Parts Ladder Safety Wire</t>
  </si>
  <si>
    <t>DN 80 Vana 
\DN 80 Type Valve</t>
  </si>
  <si>
    <t>2</t>
  </si>
  <si>
    <t>Kapalı Sandık</t>
  </si>
  <si>
    <t>3</t>
  </si>
  <si>
    <t>Rad.İlave Borusu Montajı
\Radıator Pipe Assembly</t>
  </si>
  <si>
    <t>YEDEK MALZEME VAR</t>
  </si>
  <si>
    <t>Kendi Sandıgı</t>
  </si>
  <si>
    <t>FCT00924920</t>
  </si>
  <si>
    <t>FCT00959727</t>
  </si>
  <si>
    <t>FCT00959729</t>
  </si>
  <si>
    <t>AT005</t>
  </si>
  <si>
    <t>FC3092407-03</t>
  </si>
  <si>
    <t>YG.N Domları 
\HV N Turret</t>
  </si>
  <si>
    <t>FCT00874290</t>
  </si>
  <si>
    <t>Civata Somun Pul Conta Pul Kestamit
\Bolt Nut Washer  Gasket Washer Kestamil</t>
  </si>
  <si>
    <t>FCT00717284</t>
  </si>
  <si>
    <t>FCT00747265</t>
  </si>
  <si>
    <t>FCT00687225</t>
  </si>
  <si>
    <t>FCT00687227</t>
  </si>
  <si>
    <t>A4-70</t>
  </si>
  <si>
    <t>Civata Somun Pul Conta Pul Kestamit
\Bolt Nut Washer Gasket Washer Kestamit</t>
  </si>
  <si>
    <t>NYNAS NYTRO LYRA X</t>
  </si>
  <si>
    <t>FCT00708139</t>
  </si>
  <si>
    <t>FC3098030</t>
  </si>
  <si>
    <t>CP081&amp;082</t>
  </si>
  <si>
    <t>FCT00960428</t>
  </si>
  <si>
    <t>PFISTERE</t>
  </si>
  <si>
    <t>GS021</t>
  </si>
  <si>
    <t>FCT00960461</t>
  </si>
  <si>
    <t>FCT00960462</t>
  </si>
  <si>
    <t>Hazırlayan  : HALİT KAPLAN</t>
  </si>
  <si>
    <t>CL060</t>
  </si>
  <si>
    <t>Yağ Seviye Göstergesi
\Oil Level Indicator</t>
  </si>
  <si>
    <t>Kablo Bağı AISI 316 PVC KAPLI ÇELİK L : 127
\Cable Holder</t>
  </si>
  <si>
    <t>Kablo Bağı AISI 316 PVC KAPLI ÇELİK L : 362
\Cable Holder</t>
  </si>
  <si>
    <t>Kablo Bağı AISI 316 PVC KAPLI ÇELİK L : 521
\Cable Holder</t>
  </si>
  <si>
    <t>Kablo Bağı AISI 316 PVC KAPLI ÇELİK L : 681
\Cable Holder</t>
  </si>
  <si>
    <t>Kablo Bağı 300W-4C-300x4,5mm ULTRAVİYOLE KABLO BAĞI
\Cable Holder</t>
  </si>
  <si>
    <t>Kablo Bağı STB 360S
\Cable Holder</t>
  </si>
  <si>
    <t>FC16642</t>
  </si>
  <si>
    <t>Kablo Bağı KABLO AKSESUARLARI K BAGI SIYAH 3.6X140
\Cable Holder</t>
  </si>
  <si>
    <t>FC405924</t>
  </si>
  <si>
    <t>Sikaflex-223 çekomastik</t>
  </si>
  <si>
    <t>FC3070704-01</t>
  </si>
  <si>
    <t>FC3070704-02</t>
  </si>
  <si>
    <t>FC3070704-03</t>
  </si>
  <si>
    <t>Metal Parça Muhafaza Sacı 1'li</t>
  </si>
  <si>
    <t>Metal Parça Muhafaza Sacı 2'li</t>
  </si>
  <si>
    <t>Metal Parça Muhafaza Sacı 3'li</t>
  </si>
  <si>
    <t>FC3070703</t>
  </si>
  <si>
    <t>Metal Parça Muhafaza Sacı Destek Mili</t>
  </si>
  <si>
    <t>SMC</t>
  </si>
  <si>
    <t xml:space="preserve">Kırmızı Astar Boya 
\Paint Red </t>
  </si>
  <si>
    <t>Yaglı Kablo Kutusu Konsolu
\Cable Box Support</t>
  </si>
  <si>
    <t>Nem Alıcı Tutucusu 
\Dehydration breather holder</t>
  </si>
  <si>
    <t>Boru Paketi</t>
  </si>
  <si>
    <t>Buchholz Borusu Adaptör 
\Buchholz Relay Pipe</t>
  </si>
  <si>
    <t>F</t>
  </si>
  <si>
    <t>FC</t>
  </si>
  <si>
    <t>CELIK BORU 1/4'''xBWG20(6,35x0,89)mm AST
(Gaz Analiz Cihazı İçin)</t>
  </si>
  <si>
    <t>FLANS KOR DN25 KELMAN MONT.</t>
  </si>
  <si>
    <t>Trafo Üzeri Emniyet Direği Konsolu
\Safety Pole on Transformer Console</t>
  </si>
  <si>
    <t>Son Montaj Resmi No:</t>
  </si>
  <si>
    <t xml:space="preserve">FC3006206 </t>
  </si>
  <si>
    <t>KELMAN İÇİN</t>
  </si>
  <si>
    <t xml:space="preserve">FCT01078402 </t>
  </si>
  <si>
    <t>METAL PARCA DGA-900 MONTAJ PARCASI</t>
  </si>
  <si>
    <t>METRE</t>
  </si>
  <si>
    <t>ALT RESİM NO:
DRW. NO:</t>
  </si>
  <si>
    <t>FC3098044</t>
  </si>
  <si>
    <t>KELEPCE (VANT.MONT.)A2-70</t>
  </si>
  <si>
    <t>Tekerlek ve Aksamları</t>
  </si>
  <si>
    <t>Genleşme Kabı ve Nem Alıcılar</t>
  </si>
  <si>
    <t>Radyatör</t>
  </si>
  <si>
    <t>Fan</t>
  </si>
  <si>
    <t>Depo Konsolu ve Diğer Aksamlar</t>
  </si>
  <si>
    <t>Trafo Merdiveni + Boru Donanım</t>
  </si>
  <si>
    <t>AG Bushing</t>
  </si>
  <si>
    <t>YG Bushing</t>
  </si>
  <si>
    <t>WHEEL ASSEMBLY</t>
  </si>
  <si>
    <t>VANTILATOR</t>
  </si>
  <si>
    <t>TURRET</t>
  </si>
  <si>
    <t>CONSERVATOR SUPPORT</t>
  </si>
  <si>
    <t>LADDER &amp; PIPES</t>
  </si>
  <si>
    <t>LV BUSHING</t>
  </si>
  <si>
    <t>N BUSHING</t>
  </si>
  <si>
    <t>AA345</t>
  </si>
  <si>
    <t>AA026</t>
  </si>
  <si>
    <t>AA349</t>
  </si>
  <si>
    <t xml:space="preserve">Nem Alıcı Borularının arasında </t>
  </si>
  <si>
    <t>A030</t>
  </si>
  <si>
    <t>AA004</t>
  </si>
  <si>
    <t>Rad. Gergi Laması 
\Radiator Fixing Bar</t>
  </si>
  <si>
    <t>Rad. Gergi Birleştirme Parçası 
\Radiator Fixing Bar</t>
  </si>
  <si>
    <t xml:space="preserve">Conta takımı (işletme için) 
\Gasket Set </t>
  </si>
  <si>
    <t>Trafo Montaj Ekipmanları
\Transf. Mounting Materials</t>
  </si>
  <si>
    <t>PA600-43&amp;53</t>
  </si>
  <si>
    <t>SONELGAZ</t>
  </si>
  <si>
    <t>T01140490</t>
  </si>
  <si>
    <t>T01128380</t>
  </si>
  <si>
    <t>T01128371</t>
  </si>
  <si>
    <t>ACHAFI MAHAMAT</t>
  </si>
  <si>
    <t>4</t>
  </si>
  <si>
    <t>5</t>
  </si>
  <si>
    <t>6-7</t>
  </si>
  <si>
    <t>8-15</t>
  </si>
  <si>
    <t>16-17</t>
  </si>
  <si>
    <t>18-19</t>
  </si>
  <si>
    <t>20</t>
  </si>
  <si>
    <t>21</t>
  </si>
  <si>
    <t>22</t>
  </si>
  <si>
    <t>YG DOM (1U-1W)</t>
  </si>
  <si>
    <t>YG DOM (1V-1N)</t>
  </si>
  <si>
    <t>23</t>
  </si>
  <si>
    <t>24</t>
  </si>
  <si>
    <t>1+1Set</t>
  </si>
  <si>
    <t>FCT01120660</t>
  </si>
  <si>
    <t>FC3097144-01</t>
  </si>
  <si>
    <t>FC3097824</t>
  </si>
  <si>
    <t>MONTAJ KITI TEK.DUZ_70TON_FLNS2PARC_RAY_</t>
  </si>
  <si>
    <t>FIBER GLAS PARCA FLANS,HGW ( 50TON TEK.)</t>
  </si>
  <si>
    <t>Tekerlek Montajı FIBER GLAS PARCA FLANS,HGW ( 50TON TEK.)
\Wheel Mounting</t>
  </si>
  <si>
    <t>Tekerlek Montajı IZOLASYON PARCASI BORU 27X5 X55=PA6
\Wheel Mounting</t>
  </si>
  <si>
    <t>IZOLASYON PARCASI BORU 27X5 X55=PA6</t>
  </si>
  <si>
    <t>Tekerlek Montajı FIBER GLAS PARCA PUL,,HGW 28,0X40,0X 6,0
\Wheel Mounting</t>
  </si>
  <si>
    <t>FIBER GLAS PARCA PUL,,HGW 28,0X40,0X 6,0</t>
  </si>
  <si>
    <t>FC402742</t>
  </si>
  <si>
    <t>Tekerlek Montajı PUL 17,0X45,0X 5,0=CRNI
\Wheel Mounting</t>
  </si>
  <si>
    <t>Tekerlek Montajı CIVATA 6 KS. BA. M16x80=A2-70
\Wheel Mounting</t>
  </si>
  <si>
    <t>Merkezleme Saplaması SAPLAMA OZEL
\Centering Bolt</t>
  </si>
  <si>
    <t>PUL 17,0X45,0X 5,0=CRNI</t>
  </si>
  <si>
    <t>CIVATA 6 KS. BA. M16x80=A2-70</t>
  </si>
  <si>
    <t>SAPLAMA OZEL</t>
  </si>
  <si>
    <t>FC571107</t>
  </si>
  <si>
    <t>PA600-43-53.21.00000</t>
  </si>
  <si>
    <t>T10574774</t>
  </si>
  <si>
    <t>FCT00787561</t>
  </si>
  <si>
    <t>FCT00674569</t>
  </si>
  <si>
    <t>CL064</t>
  </si>
  <si>
    <t>FCT01167974</t>
  </si>
  <si>
    <t>FCT01167975</t>
  </si>
  <si>
    <t>YAG SEVIYE GOSTERGESI MTO-STF160G/2CO/C5</t>
  </si>
  <si>
    <t>AT001</t>
  </si>
  <si>
    <t>FC420793</t>
  </si>
  <si>
    <t>FC401128</t>
  </si>
  <si>
    <t>NEM ALICI DIN 42562-L1</t>
  </si>
  <si>
    <t>NEM ALICI DIN 42562-L5</t>
  </si>
  <si>
    <t>Boya Son Kat RAL 9006_C5
\Touch up Paint</t>
  </si>
  <si>
    <t>FCT01140482</t>
  </si>
  <si>
    <t>FCT01140484</t>
  </si>
  <si>
    <t>FCT01140477</t>
  </si>
  <si>
    <t>FCT01130231</t>
  </si>
  <si>
    <t>FAN VAAZ_C_1000_7.3m3-s_M132-12-C5-VH_RA</t>
  </si>
  <si>
    <t>11
13</t>
  </si>
  <si>
    <t>PA600-43-53-.04.00000</t>
  </si>
  <si>
    <t>PA600-43-53.02.28000</t>
  </si>
  <si>
    <t>Tersiye Dom'a gelen konsollar</t>
  </si>
  <si>
    <t>PA600-43-53.00.00000</t>
  </si>
  <si>
    <t>CP081
CP082</t>
  </si>
  <si>
    <t>4.11</t>
  </si>
  <si>
    <t>4.1</t>
  </si>
  <si>
    <t>ÜST</t>
  </si>
  <si>
    <t>ALT</t>
  </si>
  <si>
    <t>2.A3</t>
  </si>
  <si>
    <t>AA351</t>
  </si>
  <si>
    <t>NEM ALICI BORUSU ÜSTÜNDE</t>
  </si>
  <si>
    <t>FCT00787555</t>
  </si>
  <si>
    <t>2.A2</t>
  </si>
  <si>
    <t>AA352</t>
  </si>
  <si>
    <t>Şalter Nem Alıcı Borusu ÜSTÜNDE</t>
  </si>
  <si>
    <t>2.A1</t>
  </si>
  <si>
    <t>Şalter Yağ Alma Borusu ÜSTÜNDE</t>
  </si>
  <si>
    <t>2.A5</t>
  </si>
  <si>
    <t>2.A4</t>
  </si>
  <si>
    <t>2 PARÇA</t>
  </si>
  <si>
    <t>2.A7</t>
  </si>
  <si>
    <t>2.A6</t>
  </si>
  <si>
    <t>Parça</t>
  </si>
  <si>
    <t>FCT01136198</t>
  </si>
  <si>
    <t>0001</t>
  </si>
  <si>
    <t>FC3006240-20</t>
  </si>
  <si>
    <t>CONTA O-RING RD10xD1= 335/L=1094</t>
  </si>
  <si>
    <t>AD</t>
  </si>
  <si>
    <t>0002</t>
  </si>
  <si>
    <t>0003</t>
  </si>
  <si>
    <t>FC3006240-03</t>
  </si>
  <si>
    <t>CONTA O-RING RD10xD1= 150/L= 513</t>
  </si>
  <si>
    <t>0004</t>
  </si>
  <si>
    <t>FCT00769063</t>
  </si>
  <si>
    <t>CONTA CONTA_NBR_700_0°</t>
  </si>
  <si>
    <t>0005</t>
  </si>
  <si>
    <t>FCT00769372</t>
  </si>
  <si>
    <t>CONTA CONTA_NBR_700_15°</t>
  </si>
  <si>
    <t>0006</t>
  </si>
  <si>
    <t>FCT00769373</t>
  </si>
  <si>
    <t>CONTA CONTA_NBR_700_20°</t>
  </si>
  <si>
    <t>0007</t>
  </si>
  <si>
    <t>FCT01140547</t>
  </si>
  <si>
    <t>CONTA VULKANIZE</t>
  </si>
  <si>
    <t>0008</t>
  </si>
  <si>
    <t>CONTA YUV. RD100X5,5</t>
  </si>
  <si>
    <t>0009</t>
  </si>
  <si>
    <t>FC403792</t>
  </si>
  <si>
    <t>LASTIK YUV. A10-NB</t>
  </si>
  <si>
    <t>M</t>
  </si>
  <si>
    <t>0010</t>
  </si>
  <si>
    <t>CONTA O-RING DN80 NBR</t>
  </si>
  <si>
    <t>0011</t>
  </si>
  <si>
    <t>FC402511</t>
  </si>
  <si>
    <t>CONTA O-RİNG 45,0x5,5 A NBR70 DN 25</t>
  </si>
  <si>
    <t>0012</t>
  </si>
  <si>
    <t>FC402512</t>
  </si>
  <si>
    <t>CONTA O-RİNG 65X6,0 A NBR70 DN 40</t>
  </si>
  <si>
    <t>0013</t>
  </si>
  <si>
    <t>FC402513</t>
  </si>
  <si>
    <t>CONTA O-RİNG 78X6,0 A NBR70 DN 50</t>
  </si>
  <si>
    <t>0014</t>
  </si>
  <si>
    <t>FC402515</t>
  </si>
  <si>
    <t>CONTA O-RİNG 100X8,0 A NBR70 DN 80</t>
  </si>
  <si>
    <t>0015</t>
  </si>
  <si>
    <t>FC402508</t>
  </si>
  <si>
    <t>CONTA O-RING 155X8,0 A NBR70 DN125</t>
  </si>
  <si>
    <t>0016</t>
  </si>
  <si>
    <t>FCT00769061</t>
  </si>
  <si>
    <t>CONTA CONTA_NBR_500_0°</t>
  </si>
  <si>
    <t>FCT00803854</t>
  </si>
  <si>
    <t>KONSOL FAN MONTAJI</t>
  </si>
  <si>
    <t>FC3098051-02</t>
  </si>
  <si>
    <t>MONTAJ IZOLELI VANTILATOR (A2-70)</t>
  </si>
  <si>
    <t>FC14004</t>
  </si>
  <si>
    <t>BUSING MESNET IZOLATORU 1N-S1 ALCE</t>
  </si>
  <si>
    <t>FC401570</t>
  </si>
  <si>
    <t>CIVATA 6 KS. BA. M10X 16=A2-70</t>
  </si>
  <si>
    <t>FC400259</t>
  </si>
  <si>
    <t>CIVATA 6 KS. BA. M10X 35=A2-70</t>
  </si>
  <si>
    <t>FC400272</t>
  </si>
  <si>
    <t>PUL A10,5=NRST</t>
  </si>
  <si>
    <t>FC3068108</t>
  </si>
  <si>
    <t>KONSOL TUTUCU-U (IZOLELI VANT.MONT)</t>
  </si>
  <si>
    <t>FC400273</t>
  </si>
  <si>
    <t>PUL A13,0=NRST</t>
  </si>
  <si>
    <t>FC400270</t>
  </si>
  <si>
    <t>SOMUN 6 KS. BA. M12=A2-70</t>
  </si>
  <si>
    <t>FC400269</t>
  </si>
  <si>
    <t>SOMUN 6 KS. BA. M10=A2-70</t>
  </si>
  <si>
    <t>FC3000503-13</t>
  </si>
  <si>
    <t>PUL 15xRD14xRD26=PA6</t>
  </si>
  <si>
    <t>FCT00787565</t>
  </si>
  <si>
    <t>FCT00682571</t>
  </si>
  <si>
    <t>FCT01140581</t>
  </si>
  <si>
    <t>VANA EDS-R80-8  6-201 M25 C/PC I+E7031 N
\DN 80 Type Valve</t>
  </si>
  <si>
    <t>4.4</t>
  </si>
  <si>
    <t>4.6</t>
  </si>
  <si>
    <t>4.9</t>
  </si>
  <si>
    <t>FC901744</t>
  </si>
  <si>
    <t>FCT00828953</t>
  </si>
  <si>
    <t>CIVATA 6 KS. BA. M10x35=A4-80</t>
  </si>
  <si>
    <t>FCT00828891</t>
  </si>
  <si>
    <t>PUL A13,0=A4-80</t>
  </si>
  <si>
    <t>FCT00828862</t>
  </si>
  <si>
    <t>SOMUN 6 KS. BA. M10=A4-80</t>
  </si>
  <si>
    <t>FC403008</t>
  </si>
  <si>
    <t>METAL PARCA NIPEL 1/4 INC=X5CRNI 18-1</t>
  </si>
  <si>
    <t>FC402070</t>
  </si>
  <si>
    <t>PUL 4,5X10,0X 2,5=PA 6</t>
  </si>
  <si>
    <t>FC405016</t>
  </si>
  <si>
    <t>METAL PARCA</t>
  </si>
  <si>
    <t>FC410164</t>
  </si>
  <si>
    <t>CONTA    2,0 X 6,0</t>
  </si>
  <si>
    <t>FC410165</t>
  </si>
  <si>
    <t>CONTA    2,0 X 9,0</t>
  </si>
  <si>
    <t>FC3096304-08</t>
  </si>
  <si>
    <t>FLEKS HORTUM ;L=8 METRE</t>
  </si>
  <si>
    <t>Gaz alma Spiral ve Montajı FLEKS HORTUM ;L=8 METRE
\Gas Analysis Device Assembly</t>
  </si>
  <si>
    <t>FCT00828489</t>
  </si>
  <si>
    <t>FCT00828488</t>
  </si>
  <si>
    <t>TERMOMETRE QUALITROL OIL TEMPERATURE IND</t>
  </si>
  <si>
    <t>TERMOMETRE QUALITROL WINDING TEMPERATURE</t>
  </si>
  <si>
    <t>FCT00886890</t>
  </si>
  <si>
    <t>BASINC GIDERME VENTILI QUALITROL  XPRD00</t>
  </si>
  <si>
    <t>CP096</t>
  </si>
  <si>
    <t>AA343</t>
  </si>
  <si>
    <t>FCT00787563</t>
  </si>
  <si>
    <t>Buchholz alt uzun boru üstünde</t>
  </si>
  <si>
    <t>FCT01125049</t>
  </si>
  <si>
    <t>Trafo üstünde olabilir</t>
  </si>
  <si>
    <t>FCT01121005</t>
  </si>
  <si>
    <t>FCT01121005-01</t>
  </si>
  <si>
    <t>YG N Bushing</t>
  </si>
  <si>
    <t>AG N Bushing</t>
  </si>
  <si>
    <t>Tersiyer Bushing</t>
  </si>
  <si>
    <t>FCT01121003</t>
  </si>
  <si>
    <t>FCT01121003-01</t>
  </si>
  <si>
    <t>BUSING PNR.245.1050.1250 K=600</t>
  </si>
  <si>
    <t>FCT01122834</t>
  </si>
  <si>
    <t>FCT01122834-01</t>
  </si>
  <si>
    <t>FCT01121004</t>
  </si>
  <si>
    <t>FCT01121004-01</t>
  </si>
  <si>
    <t>BUSING PNR.72,5.350.2000 K=500</t>
  </si>
  <si>
    <t>BUSING PNR.245.1050.1250 K=0</t>
  </si>
  <si>
    <t>AG.N.Buşingi 
\LV.N Bushing</t>
  </si>
  <si>
    <t>FCT01122835</t>
  </si>
  <si>
    <t>FCT01122835-01</t>
  </si>
  <si>
    <t>BUSING PNR.72,5.350.2000 K=0</t>
  </si>
  <si>
    <t>BUSING PNR.24.125.3150 K=500</t>
  </si>
  <si>
    <t>Ark Boynuzu
\Arcing Horn</t>
  </si>
  <si>
    <t>FCT01136557</t>
  </si>
  <si>
    <t>FCT01136555</t>
  </si>
  <si>
    <t>FCT01136570</t>
  </si>
  <si>
    <t>FCT01136569</t>
  </si>
  <si>
    <t>FCT01136554</t>
  </si>
  <si>
    <t>BUSING MESNET IZOLATORU 1N-S1 ALCE (İmalat kullanıyor olabilir, bilgi alınacak)</t>
  </si>
  <si>
    <t>1 Set</t>
  </si>
  <si>
    <t>TRAVERSE CONSOLE</t>
  </si>
  <si>
    <t>TERTIARY BUSHING</t>
  </si>
  <si>
    <t>1 SET</t>
  </si>
  <si>
    <t xml:space="preserve">Buchholz hattında 2 adet dn80 vana gözüküyor ama 1 parça listesinde 2 adet verilmiş. Dizayn ile görüşüldü. Buchholz hattında toplam 2 adet dn80 vana olabilir. Sahaya 2 adet gönderilebilir şeklinde bilgi verildi. </t>
  </si>
  <si>
    <t>MONTAJ KITI RADYATOR GERGISI MONTAJI</t>
  </si>
  <si>
    <t>FCT00098050</t>
  </si>
  <si>
    <t>CIVATA 6 KS. BA. M 6X 10=A2-70</t>
  </si>
  <si>
    <t>FC400288</t>
  </si>
  <si>
    <t>CIVATA 6 KS. BA. M 8X 35=A2-70</t>
  </si>
  <si>
    <t>FC400258</t>
  </si>
  <si>
    <t>CIVATA 6 KS. BA. M10X 30=A2-70</t>
  </si>
  <si>
    <t>FCT00686323</t>
  </si>
  <si>
    <t>CIVATA 6 KS. BA. M10x35=A4-70</t>
  </si>
  <si>
    <t>FC400292</t>
  </si>
  <si>
    <t>CIVATA 6 KS. BA. M12X 30=A2-70</t>
  </si>
  <si>
    <t>FC400262</t>
  </si>
  <si>
    <t>CIVATA 6 KS. BA. M12X 45=A2-70</t>
  </si>
  <si>
    <t>FC400363</t>
  </si>
  <si>
    <t>CIVATA 6 KS. BA. M12X 50=A2-70</t>
  </si>
  <si>
    <t>FC400379</t>
  </si>
  <si>
    <t>CIVATA 6 KS. BA. M16X 45=A2-70</t>
  </si>
  <si>
    <t>FC111</t>
  </si>
  <si>
    <t>CIVATA 6 KS. BA. M16X 60=8.8=A4G</t>
  </si>
  <si>
    <t>FC400375</t>
  </si>
  <si>
    <t>CIVATA 6 KS. BA. M16X 60=A2-70</t>
  </si>
  <si>
    <t>FC400381</t>
  </si>
  <si>
    <t>CIVATA 6 KS. BA. M16X 70=A2-70</t>
  </si>
  <si>
    <t>FCT00721333</t>
  </si>
  <si>
    <t>CIVATA 6 KS. BA. M16X55=A2-70</t>
  </si>
  <si>
    <t>FC4327034</t>
  </si>
  <si>
    <t>CIVATA 6 KS. BA. M20X 75=A2-70</t>
  </si>
  <si>
    <t>FCT00926455</t>
  </si>
  <si>
    <t>CIVATA SIL. BA. M 8x30=A4-70=H</t>
  </si>
  <si>
    <t>FC400263</t>
  </si>
  <si>
    <t>CIVATA,6KŞ.BA. M12X 60=A2-70</t>
  </si>
  <si>
    <t>FC3095004-02</t>
  </si>
  <si>
    <t>PUL 13,0x32,0x4,0=CRNI</t>
  </si>
  <si>
    <t>FC3095004-03</t>
  </si>
  <si>
    <t>PUL 21,0x45,0x5,0=CRNI</t>
  </si>
  <si>
    <t>FC402071</t>
  </si>
  <si>
    <t>PUL 9,0X16,0X 3,0=PA 6</t>
  </si>
  <si>
    <t>FC400298</t>
  </si>
  <si>
    <t>PUL A 6,4=NRST</t>
  </si>
  <si>
    <t>FCT00686560</t>
  </si>
  <si>
    <t>PUL A 8,4=A4-70</t>
  </si>
  <si>
    <t>FCT00685197</t>
  </si>
  <si>
    <t>PUL A10,5=A4-70</t>
  </si>
  <si>
    <t>FCT00945864</t>
  </si>
  <si>
    <t>PUL A13,0=A2-70</t>
  </si>
  <si>
    <t>FC400378</t>
  </si>
  <si>
    <t>PUL A17,0=NRST</t>
  </si>
  <si>
    <t>FC137</t>
  </si>
  <si>
    <t>PUL A17,0=ST=A4G</t>
  </si>
  <si>
    <t>FC401555</t>
  </si>
  <si>
    <t>PUL A21,0=NRST</t>
  </si>
  <si>
    <t>FC4327409</t>
  </si>
  <si>
    <t>PUL GENIS DUZ  8,4=A4</t>
  </si>
  <si>
    <t>FC425882</t>
  </si>
  <si>
    <t>PUL GENIS DUZ 13,0=A4</t>
  </si>
  <si>
    <t>FC400305</t>
  </si>
  <si>
    <t>PUL PUL,SIKISTIRMA 12 =FST-A2</t>
  </si>
  <si>
    <t>FC400365</t>
  </si>
  <si>
    <t>SAPLAMA M12x35</t>
  </si>
  <si>
    <t>FC400366</t>
  </si>
  <si>
    <t>SAPLAMA M12x40</t>
  </si>
  <si>
    <t>FC400248</t>
  </si>
  <si>
    <t>SAPLAMA M12x45</t>
  </si>
  <si>
    <t>FC3093910</t>
  </si>
  <si>
    <t>SAPLAMA M16x101=AISI 304</t>
  </si>
  <si>
    <t>FC400368</t>
  </si>
  <si>
    <t>SAPLAMA M16x45</t>
  </si>
  <si>
    <t>FC4327022</t>
  </si>
  <si>
    <t>SAPLAMA M20x55</t>
  </si>
  <si>
    <t>FC400268</t>
  </si>
  <si>
    <t>SOMUN 6 KS. BA. M 8=A2-70</t>
  </si>
  <si>
    <t>FCT00686555</t>
  </si>
  <si>
    <t>SOMUN 6 KS. BA. M 8=A4-70</t>
  </si>
  <si>
    <t>FC4327389</t>
  </si>
  <si>
    <t>SOMUN 6 KS. BA. M10=A4-70</t>
  </si>
  <si>
    <t>FC230</t>
  </si>
  <si>
    <t>SOMUN 6 KS. BA. M16=8=A4G</t>
  </si>
  <si>
    <t>FC400380</t>
  </si>
  <si>
    <t>SOMUN 6 KS. BA. M16=A2-70</t>
  </si>
  <si>
    <t>FC400750</t>
  </si>
  <si>
    <t>SOMUN 6 KS. BA. M20=A2-70..x</t>
  </si>
  <si>
    <t>Aksesuar Malzemeleri + Trafo Montaj Ekipmanları</t>
  </si>
  <si>
    <t>30</t>
  </si>
  <si>
    <t>Trafo Montaj Ekipmanları
\Trans. Mounting Materials</t>
  </si>
  <si>
    <t xml:space="preserve"> SET</t>
  </si>
  <si>
    <t>Civata
Pul
Somun
Saplama</t>
  </si>
  <si>
    <t>SMC50100</t>
  </si>
  <si>
    <t>SMC50101</t>
  </si>
  <si>
    <t>SMC50102</t>
  </si>
  <si>
    <t>SMC50103</t>
  </si>
  <si>
    <t>SMC50104</t>
  </si>
  <si>
    <t>SMC50105</t>
  </si>
  <si>
    <t>SMC50106</t>
  </si>
  <si>
    <t>SMC50107</t>
  </si>
  <si>
    <t>SMC50108</t>
  </si>
  <si>
    <t>SMC50109</t>
  </si>
  <si>
    <t>SMC50110</t>
  </si>
  <si>
    <t>SMC50111</t>
  </si>
  <si>
    <t>SMC50112</t>
  </si>
  <si>
    <t>SMC50113</t>
  </si>
  <si>
    <t>SMC50114</t>
  </si>
  <si>
    <t>SMC50115</t>
  </si>
  <si>
    <t>SMC50116</t>
  </si>
  <si>
    <t>SMC50117</t>
  </si>
  <si>
    <t>SMC50118</t>
  </si>
  <si>
    <t>SMC50119</t>
  </si>
  <si>
    <t>SMC50120</t>
  </si>
  <si>
    <t>SMC50121</t>
  </si>
  <si>
    <t>SMC50122</t>
  </si>
  <si>
    <t>SMC50123</t>
  </si>
  <si>
    <t>SMC50124</t>
  </si>
  <si>
    <t>SMC50125</t>
  </si>
  <si>
    <t>SMC50126</t>
  </si>
  <si>
    <t>SMC50127</t>
  </si>
  <si>
    <t>SMC50128</t>
  </si>
  <si>
    <t>SMC50129</t>
  </si>
  <si>
    <t>SMC50130</t>
  </si>
  <si>
    <t>SMC50131</t>
  </si>
  <si>
    <t>SMC50132</t>
  </si>
  <si>
    <t>SMC50133</t>
  </si>
  <si>
    <t>SMC50134</t>
  </si>
  <si>
    <t>SMC50135</t>
  </si>
  <si>
    <t>SMC50136</t>
  </si>
  <si>
    <t>SMC50137</t>
  </si>
  <si>
    <t>SMC50138</t>
  </si>
  <si>
    <t>SMC50139</t>
  </si>
  <si>
    <t>SMC50140</t>
  </si>
  <si>
    <t>SMC50141</t>
  </si>
  <si>
    <t>SMC50142</t>
  </si>
  <si>
    <t>SMC50143</t>
  </si>
  <si>
    <t>SMC50144</t>
  </si>
  <si>
    <t>Travers Konsolları Yan</t>
  </si>
  <si>
    <t>Travers Konsolları Orta</t>
  </si>
  <si>
    <t>PLAKA IZOLASYON RESİM KODU
Travers Konsol Montajı İçin</t>
  </si>
  <si>
    <t>PD</t>
  </si>
  <si>
    <t>FIBER GLAS PARCA PUL,,HGW 28,0X40,0X 6,0
Travers Konsol Montajı İçin</t>
  </si>
  <si>
    <t>FCT01140587</t>
  </si>
  <si>
    <t>IZOLASYON PARCASI BORU 27X5 X55=PA6
Travers Konsol Montajı İçin</t>
  </si>
  <si>
    <t>PUL 17,0X45,0X 5,0=CRNI
Travers Konsol Montajı İçin</t>
  </si>
  <si>
    <t>CIVATA 6 KS. BA. M16x80=A2-70
Travers Konsol Montajı İçin</t>
  </si>
  <si>
    <t>ND</t>
  </si>
  <si>
    <t>PLAKA IZOLASYON 2730x250x12 MALZ:PA6
Travers Konsol Montajı İçin</t>
  </si>
  <si>
    <t>PLAKA IZOLASYON 2730x800x12 MALZ:PA6
Travers Konsol Montajı İçin</t>
  </si>
  <si>
    <t>Kuru Hava Tüpü Montajı Var / Dry Air Tube Assembled</t>
  </si>
  <si>
    <t xml:space="preserve">Darbe kaydedici / Shock Recorder </t>
  </si>
  <si>
    <t>Type:</t>
  </si>
  <si>
    <t>Electronic</t>
  </si>
  <si>
    <t>Pcs:</t>
  </si>
  <si>
    <t>FC421956</t>
  </si>
  <si>
    <t>KABLO TOPRAKLAMA ORG.M6x16-200</t>
  </si>
  <si>
    <t>FCT00679060</t>
  </si>
  <si>
    <t>KABLO TOPRAKLAMA ORG.M12x200-200</t>
  </si>
  <si>
    <t>FC3098029</t>
  </si>
  <si>
    <t>MONTAJ B.G.V. STANDART</t>
  </si>
  <si>
    <t>CONTA</t>
  </si>
  <si>
    <t>FCT00733939</t>
  </si>
  <si>
    <t>MONTAJ BASINC GIDER.VENTIL MONT.-QU-VITO</t>
  </si>
  <si>
    <t>FCT00733941</t>
  </si>
  <si>
    <t>CONTA VITON CONTA, QUALITROL BGV</t>
  </si>
  <si>
    <t>FC3006180</t>
  </si>
  <si>
    <t>FLANS</t>
  </si>
  <si>
    <t>FCT00682818</t>
  </si>
  <si>
    <t>CONTA VITON CONTA, TASMA BORUSU</t>
  </si>
  <si>
    <t>0029</t>
  </si>
  <si>
    <t>FC3095251-01</t>
  </si>
  <si>
    <t>MONTAJ TOPRAKLAMA MONT. M6x16-200</t>
  </si>
  <si>
    <t>FC3095330-02</t>
  </si>
  <si>
    <t>MONTAJ KITI TOPRAKLAMA ( M 6 )</t>
  </si>
  <si>
    <t>0033</t>
  </si>
  <si>
    <t>MONTAJ TOPRAKLAMA MONT. M12x200-200</t>
  </si>
  <si>
    <t>0300</t>
  </si>
  <si>
    <t>FC3007302-04</t>
  </si>
  <si>
    <t>MONTAJ KITI CIV.BAGLANTI DN25-A2-70</t>
  </si>
  <si>
    <t>0301</t>
  </si>
  <si>
    <t>0302</t>
  </si>
  <si>
    <t>0303</t>
  </si>
  <si>
    <t>FC3007302-06</t>
  </si>
  <si>
    <t>MONTAJ KITI CIV.BAGLANTI DN40-A2-70</t>
  </si>
  <si>
    <t>0304</t>
  </si>
  <si>
    <t>FC3099022-02</t>
  </si>
  <si>
    <t>MONTAJ KITI KOR FLNS.(DN 25)O-R/A2-70</t>
  </si>
  <si>
    <t>FC3006190-03</t>
  </si>
  <si>
    <t>FLANS KOR DN25 O- RING</t>
  </si>
  <si>
    <t>0305</t>
  </si>
  <si>
    <t>FC3099022-03</t>
  </si>
  <si>
    <t>MONTAJ KITI KOR FLNS.(DN 40)O-R/A2-70</t>
  </si>
  <si>
    <t>FC3006190-05</t>
  </si>
  <si>
    <t>FLANS KOR DN40 O-RING</t>
  </si>
  <si>
    <t>0306</t>
  </si>
  <si>
    <t>FC3099022-04</t>
  </si>
  <si>
    <t>MONTAJ KITI KOR FLNS.(DN 50)O-R/A2-70</t>
  </si>
  <si>
    <t>FC3006190-06</t>
  </si>
  <si>
    <t>FLANS KOR DN50 O-RING</t>
  </si>
  <si>
    <t>0308</t>
  </si>
  <si>
    <t>FCT00787585</t>
  </si>
  <si>
    <t>MONTAJ VANA OMV MONT. DN 40 / O-RING A2-</t>
  </si>
  <si>
    <t>VANA BALL VALVE FLANGED PN 16 - DN 40 (O</t>
  </si>
  <si>
    <t>FCT00773497</t>
  </si>
  <si>
    <t>0312</t>
  </si>
  <si>
    <t>FCT00787581</t>
  </si>
  <si>
    <t>MONTAJ VANA OMV MONT. DN 25 / O-RING A2-</t>
  </si>
  <si>
    <t>VANA BALL VALVE FLANGED PN 16 - DN 25 (O</t>
  </si>
  <si>
    <t>0318</t>
  </si>
  <si>
    <t>FC3099008-03</t>
  </si>
  <si>
    <t>MONTAJ KITI KOR FLANS(NEM ALICI)</t>
  </si>
  <si>
    <t>FC163779</t>
  </si>
  <si>
    <t>FLANS KOR</t>
  </si>
  <si>
    <t>FC19719</t>
  </si>
  <si>
    <t>LASTIK RULO NB-R4X1000</t>
  </si>
  <si>
    <t>M2</t>
  </si>
  <si>
    <t>0320</t>
  </si>
  <si>
    <t>FC3090156</t>
  </si>
  <si>
    <t>MONTAJ KITI SAPLAMALI BAGLANTI M16</t>
  </si>
  <si>
    <t>0321</t>
  </si>
  <si>
    <t>FCT01127890</t>
  </si>
  <si>
    <t>MONTAJ ŞALT.KORM.RÖLE MONT.O-R/A2-70 OMV</t>
  </si>
  <si>
    <t>FC163505</t>
  </si>
  <si>
    <t>CONTA DUZ    25- 68</t>
  </si>
  <si>
    <t>0322</t>
  </si>
  <si>
    <t>FCT00686321</t>
  </si>
  <si>
    <t>MONTAJ TUTUCU MONT.(BORU TESP.)-A4-70</t>
  </si>
  <si>
    <t>0330</t>
  </si>
  <si>
    <t>FCT00787587</t>
  </si>
  <si>
    <t>MONTAJ VANA OMV MONT. DN 50 / O-RING A2-</t>
  </si>
  <si>
    <t>VANA BALL VALVE FLANGED PN 16 - DN 50 (O</t>
  </si>
  <si>
    <t>FC3007302-08</t>
  </si>
  <si>
    <t>MONTAJ KITI CIV.BAGLANTI DN50-A2-70</t>
  </si>
  <si>
    <t>FCT00924955</t>
  </si>
  <si>
    <t>MONTAJ GE FIRMA PLK.-GENL.KAB. H=400</t>
  </si>
  <si>
    <t>PLAKA FIRMA GE H=400 600x600</t>
  </si>
  <si>
    <t>FC3045649-59</t>
  </si>
  <si>
    <t>MONTAJ KITI BUSING TESPITI O-RING/A2-70</t>
  </si>
  <si>
    <t>FC3045649-42</t>
  </si>
  <si>
    <t>FCT00956371</t>
  </si>
  <si>
    <t>MONTAJ KITI DOM_ALT_BAGLANTISI_700_0°_A2</t>
  </si>
  <si>
    <t>FCT00956707</t>
  </si>
  <si>
    <t>MONTAJ KITI DOM_ALT_BAGLANTISI_700_15°_A</t>
  </si>
  <si>
    <t>FCT00956819</t>
  </si>
  <si>
    <t>MONTAJ KITI DOM_ALT_BAGLANTISI_700_20°_A</t>
  </si>
  <si>
    <t>FCT00956367</t>
  </si>
  <si>
    <t>MONTAJ KITI DOM_ALT_BAGLANTISI_500_0°_A2</t>
  </si>
  <si>
    <t>0030</t>
  </si>
  <si>
    <t>FC3099027-09</t>
  </si>
  <si>
    <t>MONTAJ GENL.KABI VE KONSOL TESPITI</t>
  </si>
  <si>
    <t>0031</t>
  </si>
  <si>
    <t>FC3090157-35</t>
  </si>
  <si>
    <t>MONTAJ KITI CIVATALI BAGLANTI M20/H=4</t>
  </si>
  <si>
    <t>FCT00787618</t>
  </si>
  <si>
    <t>MONTAJ BUCH.R.MONT:PL:80/KUR/OR/A2-70 OM</t>
  </si>
  <si>
    <t>FC3099026-10</t>
  </si>
  <si>
    <t>MONTAJ KITI SAPL.BAGL.DN80/O-RING</t>
  </si>
  <si>
    <t>FC3007302-10</t>
  </si>
  <si>
    <t>MONTAJ KITI CIV.BAGLANTI DN80-A2-70</t>
  </si>
  <si>
    <t>FC420086</t>
  </si>
  <si>
    <t>FLANS NAKIL DN 80</t>
  </si>
  <si>
    <t>FC174052</t>
  </si>
  <si>
    <t>0048</t>
  </si>
  <si>
    <t>FC3093211</t>
  </si>
  <si>
    <t>MONTAJ RADYAT.MONT. TIKAC DELIKLI</t>
  </si>
  <si>
    <t>0049</t>
  </si>
  <si>
    <t>FC3093320</t>
  </si>
  <si>
    <t>MONTAJ TRANSPORT ICIN RADYATOR MONT</t>
  </si>
  <si>
    <t>0050</t>
  </si>
  <si>
    <t>FC3093300-02</t>
  </si>
  <si>
    <t>MONTAJ RADYATOR GERGISI MONT.A2-70</t>
  </si>
  <si>
    <t>0051</t>
  </si>
  <si>
    <t>FC3093302-02</t>
  </si>
  <si>
    <t>MONTAJ RADYAT.ARA GERGISI MONT./A2-</t>
  </si>
  <si>
    <t>0054</t>
  </si>
  <si>
    <t>0073</t>
  </si>
  <si>
    <t>FC3907916</t>
  </si>
  <si>
    <t>0075</t>
  </si>
  <si>
    <t>FC3090157-21</t>
  </si>
  <si>
    <t>MONTAJ KITI CIVATALI BAGLANTI M16/H=2</t>
  </si>
  <si>
    <t>0076</t>
  </si>
  <si>
    <t>0078</t>
  </si>
  <si>
    <t>FC3098034-02</t>
  </si>
  <si>
    <t>MONTAJ KITI BARA TESPITI M12-4=A2-70</t>
  </si>
  <si>
    <t>0079</t>
  </si>
  <si>
    <t>FC3098034-03</t>
  </si>
  <si>
    <t>MONTAJ KITI BARA TESPITI M12-1=A2-70</t>
  </si>
  <si>
    <t>Tepe Kodu</t>
  </si>
  <si>
    <t>Trafoların hepsi tam kurulmayacağı için imalatın kullanmayacağı contalar</t>
  </si>
  <si>
    <t>T01120674</t>
  </si>
  <si>
    <t>T01132063</t>
  </si>
  <si>
    <t>T01132060</t>
  </si>
  <si>
    <t>Kutuların / paketlerin üstünde keisnlikle kod olacak</t>
  </si>
  <si>
    <t>Contalar işletme ile plde verilen diğer contaları karşılaştır. İşletme contalarında yoksa eklet.</t>
  </si>
  <si>
    <t>Kuru Hava Basıldı / Dry Air Filled</t>
  </si>
  <si>
    <r>
      <t>Gaz basıncı …</t>
    </r>
    <r>
      <rPr>
        <b/>
        <sz val="10"/>
        <rFont val="FuturaA Bk BT"/>
        <family val="2"/>
        <charset val="162"/>
      </rPr>
      <t>220.</t>
    </r>
    <r>
      <rPr>
        <sz val="10"/>
        <rFont val="FuturaA Bk BT"/>
        <family val="2"/>
        <charset val="162"/>
      </rPr>
      <t>.. mbar / Dry Air Pressure ...</t>
    </r>
    <r>
      <rPr>
        <b/>
        <sz val="10"/>
        <rFont val="FuturaA Bk BT"/>
        <family val="2"/>
        <charset val="162"/>
      </rPr>
      <t>220.</t>
    </r>
    <r>
      <rPr>
        <sz val="10"/>
        <rFont val="FuturaA Bk BT"/>
        <family val="2"/>
        <charset val="162"/>
      </rPr>
      <t>. mbar</t>
    </r>
  </si>
  <si>
    <t>Tahta Palet</t>
  </si>
  <si>
    <t>Trafo Yağı</t>
  </si>
  <si>
    <t>W. PALLET</t>
  </si>
  <si>
    <t>TRANSFORMER OIL</t>
  </si>
  <si>
    <t>25-27</t>
  </si>
  <si>
    <t>28</t>
  </si>
  <si>
    <t>29</t>
  </si>
  <si>
    <t>31-34</t>
  </si>
  <si>
    <t>35-44</t>
  </si>
  <si>
    <t>PA600-44&amp;53</t>
  </si>
  <si>
    <t>Trafo Üstü Sevk</t>
  </si>
  <si>
    <t>ALGERIA</t>
  </si>
  <si>
    <t>İptal.</t>
  </si>
  <si>
    <t>Tersiyer Dom</t>
  </si>
  <si>
    <t>45</t>
  </si>
  <si>
    <t>AG DOM (2U-2V-2W-2N)</t>
  </si>
  <si>
    <t>46</t>
  </si>
  <si>
    <t>PA600-44</t>
  </si>
  <si>
    <t>PA600-44-01</t>
  </si>
  <si>
    <t>PA600-44-02</t>
  </si>
  <si>
    <t>PA600-44-03</t>
  </si>
  <si>
    <t>PA600-44-04</t>
  </si>
  <si>
    <t>PA600-44-05</t>
  </si>
  <si>
    <t>PA600-44-06</t>
  </si>
  <si>
    <t>PA600-44-07</t>
  </si>
  <si>
    <t>PA600-44-08</t>
  </si>
  <si>
    <t>PA600-44-09</t>
  </si>
  <si>
    <t>PA600-44-10</t>
  </si>
  <si>
    <t>PA600-44-11</t>
  </si>
  <si>
    <t>PA600-44-12</t>
  </si>
  <si>
    <t>PA600-44-13</t>
  </si>
  <si>
    <t>PA600-44-14</t>
  </si>
  <si>
    <t>PA600-44-15</t>
  </si>
  <si>
    <t>PA600-44-16</t>
  </si>
  <si>
    <t>PA600-44-17</t>
  </si>
  <si>
    <t>PA600-44-18</t>
  </si>
  <si>
    <t>PA600-44-19</t>
  </si>
  <si>
    <t>PA600-44-20</t>
  </si>
  <si>
    <t>PA600-44-21</t>
  </si>
  <si>
    <t>PA600-44-22</t>
  </si>
  <si>
    <t>PA600-44-23</t>
  </si>
  <si>
    <t>PA600-44-24</t>
  </si>
  <si>
    <t>PA600-44-25</t>
  </si>
  <si>
    <t>PA600-44-26</t>
  </si>
  <si>
    <t>PA600-44-27</t>
  </si>
  <si>
    <t>PA600-44-28</t>
  </si>
  <si>
    <t>PA600-44-29</t>
  </si>
  <si>
    <t>PA600-44-30</t>
  </si>
  <si>
    <t>PA600-44-31</t>
  </si>
  <si>
    <t>PA600-44-32</t>
  </si>
  <si>
    <t>PA600-44-33</t>
  </si>
  <si>
    <t>PA600-44-34</t>
  </si>
  <si>
    <t>PA600-44-35</t>
  </si>
  <si>
    <t>PA600-44-36</t>
  </si>
  <si>
    <t>PA600-44-37</t>
  </si>
  <si>
    <t>PA600-44-38</t>
  </si>
  <si>
    <t>PA600-44-39</t>
  </si>
  <si>
    <t>PA600-44-40</t>
  </si>
  <si>
    <t>PA600-44-41</t>
  </si>
  <si>
    <t>PA600-44-42</t>
  </si>
  <si>
    <t>PA600-44-43</t>
  </si>
  <si>
    <t>PA600-44-44</t>
  </si>
  <si>
    <t>PA600-44-45</t>
  </si>
  <si>
    <t>PA600-44-46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</si>
</sst>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4">
    <font>
      <sz val="11"/>
      <color theme="1"/>
      <name val="Calibri"/>
      <family val="2"/>
      <charset val="162"/>
      <scheme val="minor"/>
    </font>
    <font>
      <sz val="11"/>
      <color theme="1"/>
      <name val="GE Inspira Medium"/>
      <family val="2"/>
      <charset val="162"/>
    </font>
    <font>
      <sz val="8"/>
      <color theme="1"/>
      <name val="GE Inspira Medium"/>
      <family val="2"/>
      <charset val="162"/>
    </font>
    <font>
      <b/>
      <sz val="14"/>
      <color theme="1"/>
      <name val="GE Inspira Medium"/>
      <family val="2"/>
      <charset val="162"/>
    </font>
    <font>
      <sz val="10"/>
      <color theme="1"/>
      <name val="GE Inspira Medium"/>
      <family val="2"/>
      <charset val="162"/>
    </font>
    <font>
      <sz val="10"/>
      <name val="FuturaA Bk BT"/>
      <family val="2"/>
    </font>
    <font>
      <sz val="10"/>
      <name val="FuturaA Bk BT"/>
      <family val="2"/>
    </font>
    <font>
      <sz val="7"/>
      <name val="GE Inspira Medium"/>
      <family val="2"/>
      <charset val="162"/>
    </font>
    <font>
      <sz val="8"/>
      <color theme="1"/>
      <name val="Calibri"/>
      <family val="2"/>
      <charset val="162"/>
      <scheme val="minor"/>
    </font>
    <font>
      <sz val="10"/>
      <name val="GE Inspira Medium"/>
      <family val="2"/>
      <charset val="162"/>
    </font>
    <font>
      <sz val="8"/>
      <name val="GE Inspira Medium"/>
      <family val="2"/>
      <charset val="162"/>
    </font>
    <font>
      <sz val="11"/>
      <name val="GE Inspira Medium"/>
      <family val="2"/>
      <charset val="162"/>
    </font>
    <font>
      <b/>
      <sz val="14"/>
      <color rgb="FFFF0000"/>
      <name val="GE Inspira Medium"/>
      <family val="2"/>
      <charset val="162"/>
    </font>
    <font>
      <sz val="14"/>
      <color theme="1"/>
      <name val="GE Inspira Medium"/>
      <family val="2"/>
      <charset val="162"/>
    </font>
    <font>
      <sz val="11"/>
      <color theme="1"/>
      <name val="GE Inspira"/>
      <family val="2"/>
      <charset val="162"/>
    </font>
    <font>
      <sz val="10"/>
      <color theme="1"/>
      <name val="GE Inspira"/>
      <family val="2"/>
      <charset val="162"/>
    </font>
    <font>
      <sz val="8"/>
      <color theme="1"/>
      <name val="GE Inspira"/>
      <family val="2"/>
      <charset val="162"/>
    </font>
    <font>
      <sz val="9"/>
      <name val="FuturaA Bk BT"/>
      <family val="2"/>
      <charset val="162"/>
    </font>
    <font>
      <b/>
      <sz val="10"/>
      <name val="FuturaA Bk BT"/>
      <family val="2"/>
    </font>
    <font>
      <sz val="11"/>
      <color rgb="FFFF0000"/>
      <name val="GE Inspira"/>
      <family val="2"/>
      <charset val="162"/>
    </font>
    <font>
      <sz val="10"/>
      <name val="FuturaA Bk BT"/>
      <family val="2"/>
    </font>
    <font>
      <sz val="11"/>
      <name val="GE Inspira"/>
      <family val="2"/>
      <charset val="162"/>
    </font>
    <font>
      <b/>
      <sz val="10"/>
      <color rgb="FFFF0000"/>
      <name val="GE Inspira"/>
      <family val="2"/>
      <charset val="162"/>
    </font>
    <font>
      <b/>
      <sz val="16"/>
      <name val="FuturaA Bk BT"/>
      <family val="2"/>
      <charset val="162"/>
    </font>
    <font>
      <sz val="10"/>
      <name val="FuturaA Bk BT"/>
      <family val="2"/>
      <charset val="162"/>
    </font>
    <font>
      <b/>
      <sz val="9"/>
      <name val="FuturaA Bk BT"/>
      <family val="2"/>
    </font>
    <font>
      <b/>
      <sz val="10"/>
      <name val="FuturaA Bk BT"/>
      <family val="2"/>
      <charset val="162"/>
    </font>
    <font>
      <sz val="8"/>
      <name val="FuturaA Bk BT"/>
      <family val="2"/>
    </font>
    <font>
      <b/>
      <sz val="12"/>
      <name val="FuturaA Bk BT"/>
      <family val="2"/>
    </font>
    <font>
      <sz val="12"/>
      <name val="FuturaA Bk BT"/>
      <family val="2"/>
    </font>
    <font>
      <sz val="11"/>
      <name val="FuturaA Bk BT"/>
      <family val="2"/>
    </font>
    <font>
      <sz val="11"/>
      <color theme="1"/>
      <name val="FuturaA Bk BT"/>
      <family val="2"/>
    </font>
    <font>
      <b/>
      <sz val="15"/>
      <color theme="1"/>
      <name val="FuturaA Bk BT"/>
      <family val="2"/>
    </font>
    <font>
      <b/>
      <sz val="11"/>
      <color theme="1"/>
      <name val="FuturaA Bk BT"/>
      <family val="2"/>
    </font>
    <font>
      <sz val="9"/>
      <name val="FuturaA Bk BT"/>
      <family val="2"/>
    </font>
    <font>
      <b/>
      <sz val="9"/>
      <name val="FuturaA Bk BT"/>
      <family val="2"/>
      <charset val="162"/>
    </font>
    <font>
      <b/>
      <sz val="9"/>
      <color rgb="FFFF0000"/>
      <name val="FuturaA Bk BT"/>
      <family val="2"/>
    </font>
    <font>
      <b/>
      <sz val="11"/>
      <name val="FuturaA Bk BT"/>
      <family val="2"/>
    </font>
    <font>
      <b/>
      <sz val="11"/>
      <color rgb="FFFF0000"/>
      <name val="FuturaA Bk BT"/>
      <family val="2"/>
    </font>
    <font>
      <sz val="10"/>
      <name val="GE Inspira"/>
      <family val="2"/>
      <charset val="162"/>
    </font>
    <font>
      <b/>
      <sz val="10"/>
      <color rgb="FFFF0000"/>
      <name val="FuturaA Bk BT"/>
      <family val="2"/>
      <charset val="162"/>
    </font>
    <font>
      <sz val="8"/>
      <name val="GE Inspira"/>
      <family val="2"/>
      <charset val="162"/>
    </font>
    <font>
      <sz val="10"/>
      <name val="Arial"/>
      <family val="2"/>
      <charset val="162"/>
    </font>
    <font>
      <sz val="10"/>
      <name val="GE Inspira"/>
      <charset val="162"/>
    </font>
    <font>
      <sz val="9"/>
      <color theme="1"/>
      <name val="GE Inspira Medium"/>
      <charset val="162"/>
    </font>
    <font>
      <sz val="11"/>
      <color theme="1"/>
      <name val="GE Inspira Medium"/>
      <charset val="162"/>
    </font>
    <font>
      <sz val="8"/>
      <color theme="1"/>
      <name val="GE Inspira Medium"/>
      <charset val="162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rgb="FF9C0006"/>
      <name val="Calibri"/>
      <family val="2"/>
      <charset val="162"/>
      <scheme val="minor"/>
    </font>
    <font>
      <b/>
      <sz val="11"/>
      <color rgb="FF006100"/>
      <name val="Calibri"/>
      <family val="2"/>
      <charset val="162"/>
      <scheme val="minor"/>
    </font>
    <font>
      <b/>
      <sz val="11"/>
      <color rgb="FF9C5700"/>
      <name val="Calibri"/>
      <family val="2"/>
      <charset val="162"/>
      <scheme val="minor"/>
    </font>
    <font>
      <sz val="8"/>
      <color rgb="FFFF0000"/>
      <name val="GE Inspira"/>
      <family val="2"/>
      <charset val="162"/>
    </font>
    <font>
      <b/>
      <sz val="12"/>
      <color rgb="FFFF0000"/>
      <name val="GE Inspira"/>
      <charset val="162"/>
    </font>
    <font>
      <b/>
      <sz val="12"/>
      <color theme="1"/>
      <name val="GE Inspira"/>
      <charset val="162"/>
    </font>
    <font>
      <sz val="8"/>
      <name val="Calibri"/>
      <family val="2"/>
      <charset val="162"/>
      <scheme val="minor"/>
    </font>
    <font>
      <b/>
      <sz val="9"/>
      <name val="FuturaA Bk BT"/>
      <charset val="162"/>
    </font>
    <font>
      <b/>
      <sz val="12"/>
      <name val="GE Inspira"/>
      <charset val="162"/>
    </font>
    <font>
      <b/>
      <sz val="11"/>
      <color rgb="FFFF0000"/>
      <name val="GE Inspira"/>
      <charset val="162"/>
    </font>
    <font>
      <sz val="8"/>
      <color theme="1"/>
      <name val="GE Inspira"/>
      <charset val="162"/>
    </font>
    <font>
      <sz val="8"/>
      <color rgb="FFFF0000"/>
      <name val="GE Inspira"/>
      <charset val="162"/>
    </font>
    <font>
      <sz val="8"/>
      <name val="GE Inspira"/>
      <charset val="162"/>
    </font>
    <font>
      <b/>
      <sz val="8"/>
      <color theme="1"/>
      <name val="GE Inspira"/>
      <charset val="162"/>
    </font>
    <font>
      <b/>
      <sz val="8"/>
      <color rgb="FFFF0000"/>
      <name val="GE Inspira"/>
      <charset val="162"/>
    </font>
    <font>
      <b/>
      <sz val="8"/>
      <name val="GE Inspira"/>
      <charset val="162"/>
    </font>
    <font>
      <sz val="9"/>
      <color theme="1"/>
      <name val="GE Inspira"/>
      <charset val="162"/>
    </font>
    <font>
      <b/>
      <sz val="10"/>
      <name val="FuturaA Bk BT"/>
      <charset val="162"/>
    </font>
    <font>
      <sz val="11"/>
      <name val="Calibri"/>
      <family val="2"/>
      <charset val="162"/>
      <scheme val="minor"/>
    </font>
    <font>
      <b/>
      <sz val="11"/>
      <name val="GE Inspira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b/>
      <sz val="11"/>
      <color theme="1"/>
      <name val="GE Inspira"/>
      <charset val="16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9">
    <xf numFmtId="0" fontId="0" fillId="0" borderId="0"/>
    <xf numFmtId="0" fontId="5" fillId="0" borderId="0"/>
    <xf numFmtId="0" fontId="6" fillId="0" borderId="0"/>
    <xf numFmtId="0" fontId="20" fillId="0" borderId="0"/>
    <xf numFmtId="0" fontId="42" fillId="0" borderId="0"/>
    <xf numFmtId="0" fontId="47" fillId="11" borderId="0" applyNumberFormat="0" applyBorder="0" applyAlignment="0" applyProtection="0"/>
    <xf numFmtId="0" fontId="48" fillId="12" borderId="0" applyNumberFormat="0" applyBorder="0" applyAlignment="0" applyProtection="0"/>
    <xf numFmtId="0" fontId="49" fillId="13" borderId="0" applyNumberFormat="0" applyBorder="0" applyAlignment="0" applyProtection="0"/>
    <xf numFmtId="0" fontId="50" fillId="14" borderId="24" applyNumberFormat="0" applyAlignment="0" applyProtection="0"/>
  </cellStyleXfs>
  <cellXfs count="557">
    <xf numFmtId="0" fontId="0" fillId="0" borderId="0" xfId="0"/>
    <xf numFmtId="0" fontId="1" fillId="0" borderId="0" xfId="0" applyFont="1" applyBorder="1"/>
    <xf numFmtId="0" fontId="1" fillId="0" borderId="1" xfId="0" applyFont="1" applyBorder="1"/>
    <xf numFmtId="0" fontId="0" fillId="0" borderId="6" xfId="0" applyBorder="1"/>
    <xf numFmtId="0" fontId="0" fillId="0" borderId="5" xfId="0" applyBorder="1"/>
    <xf numFmtId="0" fontId="1" fillId="0" borderId="8" xfId="0" applyFont="1" applyBorder="1"/>
    <xf numFmtId="0" fontId="3" fillId="0" borderId="12" xfId="0" applyFont="1" applyBorder="1" applyAlignment="1">
      <alignment wrapText="1"/>
    </xf>
    <xf numFmtId="0" fontId="2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0" xfId="0" applyBorder="1"/>
    <xf numFmtId="0" fontId="7" fillId="0" borderId="2" xfId="2" applyFont="1" applyBorder="1" applyAlignment="1">
      <alignment vertical="center" wrapText="1"/>
    </xf>
    <xf numFmtId="0" fontId="14" fillId="0" borderId="15" xfId="0" applyFont="1" applyBorder="1"/>
    <xf numFmtId="0" fontId="14" fillId="0" borderId="15" xfId="0" applyFont="1" applyBorder="1" applyAlignment="1">
      <alignment wrapText="1"/>
    </xf>
    <xf numFmtId="0" fontId="15" fillId="0" borderId="15" xfId="0" applyFont="1" applyBorder="1" applyAlignment="1">
      <alignment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5" fillId="0" borderId="0" xfId="0" applyFont="1" applyBorder="1"/>
    <xf numFmtId="0" fontId="15" fillId="0" borderId="15" xfId="0" applyFont="1" applyBorder="1"/>
    <xf numFmtId="0" fontId="4" fillId="0" borderId="10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6" fillId="0" borderId="15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6" fillId="0" borderId="20" xfId="0" applyFont="1" applyBorder="1" applyAlignment="1">
      <alignment wrapText="1"/>
    </xf>
    <xf numFmtId="0" fontId="16" fillId="0" borderId="21" xfId="0" applyFont="1" applyBorder="1" applyAlignment="1">
      <alignment wrapText="1"/>
    </xf>
    <xf numFmtId="0" fontId="16" fillId="0" borderId="22" xfId="0" applyFont="1" applyBorder="1" applyAlignment="1">
      <alignment wrapText="1"/>
    </xf>
    <xf numFmtId="0" fontId="16" fillId="0" borderId="20" xfId="0" applyFont="1" applyBorder="1" applyAlignment="1"/>
    <xf numFmtId="0" fontId="16" fillId="0" borderId="21" xfId="0" applyFont="1" applyBorder="1" applyAlignment="1"/>
    <xf numFmtId="0" fontId="16" fillId="0" borderId="22" xfId="0" applyFont="1" applyBorder="1" applyAlignment="1"/>
    <xf numFmtId="0" fontId="4" fillId="0" borderId="8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4" fillId="0" borderId="0" xfId="0" applyFont="1" applyBorder="1" applyAlignment="1">
      <alignment horizontal="center"/>
    </xf>
    <xf numFmtId="0" fontId="14" fillId="3" borderId="15" xfId="0" applyFont="1" applyFill="1" applyBorder="1" applyAlignment="1">
      <alignment horizontal="center"/>
    </xf>
    <xf numFmtId="0" fontId="19" fillId="0" borderId="15" xfId="0" applyFont="1" applyBorder="1"/>
    <xf numFmtId="0" fontId="21" fillId="0" borderId="15" xfId="0" applyFont="1" applyBorder="1" applyAlignment="1">
      <alignment horizontal="center"/>
    </xf>
    <xf numFmtId="0" fontId="14" fillId="0" borderId="20" xfId="0" applyFont="1" applyBorder="1"/>
    <xf numFmtId="49" fontId="24" fillId="0" borderId="0" xfId="1" applyNumberFormat="1" applyFont="1"/>
    <xf numFmtId="49" fontId="17" fillId="0" borderId="0" xfId="1" applyNumberFormat="1" applyFont="1" applyBorder="1" applyAlignment="1">
      <alignment vertical="center"/>
    </xf>
    <xf numFmtId="49" fontId="17" fillId="0" borderId="0" xfId="1" applyNumberFormat="1" applyFont="1" applyBorder="1"/>
    <xf numFmtId="49" fontId="24" fillId="0" borderId="0" xfId="1" applyNumberFormat="1" applyFont="1" applyBorder="1"/>
    <xf numFmtId="49" fontId="17" fillId="0" borderId="0" xfId="1" applyNumberFormat="1" applyFont="1"/>
    <xf numFmtId="49" fontId="17" fillId="0" borderId="0" xfId="1" applyNumberFormat="1" applyFont="1" applyAlignment="1">
      <alignment horizontal="center"/>
    </xf>
    <xf numFmtId="49" fontId="17" fillId="0" borderId="0" xfId="1" applyNumberFormat="1" applyFont="1" applyBorder="1" applyAlignment="1">
      <alignment vertical="top"/>
    </xf>
    <xf numFmtId="49" fontId="26" fillId="0" borderId="0" xfId="1" applyNumberFormat="1" applyFont="1" applyAlignment="1">
      <alignment vertical="center"/>
    </xf>
    <xf numFmtId="49" fontId="26" fillId="0" borderId="0" xfId="1" applyNumberFormat="1" applyFont="1" applyBorder="1" applyAlignment="1">
      <alignment vertical="center"/>
    </xf>
    <xf numFmtId="49" fontId="26" fillId="0" borderId="0" xfId="1" applyNumberFormat="1" applyFont="1" applyBorder="1" applyAlignment="1">
      <alignment vertical="center" wrapText="1"/>
    </xf>
    <xf numFmtId="49" fontId="17" fillId="0" borderId="0" xfId="1" applyNumberFormat="1" applyFont="1" applyAlignment="1">
      <alignment vertical="center"/>
    </xf>
    <xf numFmtId="49" fontId="24" fillId="0" borderId="0" xfId="1" applyNumberFormat="1" applyFont="1" applyBorder="1" applyAlignment="1"/>
    <xf numFmtId="49" fontId="24" fillId="0" borderId="6" xfId="1" applyNumberFormat="1" applyFont="1" applyBorder="1" applyAlignment="1"/>
    <xf numFmtId="0" fontId="21" fillId="0" borderId="15" xfId="0" applyFont="1" applyBorder="1"/>
    <xf numFmtId="0" fontId="15" fillId="2" borderId="15" xfId="0" applyFont="1" applyFill="1" applyBorder="1" applyAlignment="1">
      <alignment wrapText="1"/>
    </xf>
    <xf numFmtId="0" fontId="30" fillId="0" borderId="0" xfId="0" applyFont="1" applyBorder="1" applyAlignment="1">
      <alignment horizontal="left" vertical="center"/>
    </xf>
    <xf numFmtId="0" fontId="29" fillId="0" borderId="0" xfId="0" applyFont="1" applyFill="1" applyBorder="1" applyAlignment="1">
      <alignment wrapText="1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/>
    <xf numFmtId="0" fontId="28" fillId="0" borderId="0" xfId="0" applyFont="1" applyBorder="1" applyAlignment="1">
      <alignment wrapText="1"/>
    </xf>
    <xf numFmtId="0" fontId="28" fillId="0" borderId="0" xfId="0" applyFont="1" applyBorder="1" applyAlignment="1">
      <alignment horizontal="center"/>
    </xf>
    <xf numFmtId="0" fontId="31" fillId="0" borderId="0" xfId="0" applyFont="1" applyBorder="1" applyAlignment="1">
      <alignment horizontal="left" indent="2"/>
    </xf>
    <xf numFmtId="0" fontId="27" fillId="0" borderId="0" xfId="0" applyFont="1" applyBorder="1" applyAlignment="1">
      <alignment horizontal="center"/>
    </xf>
    <xf numFmtId="1" fontId="27" fillId="0" borderId="0" xfId="0" applyNumberFormat="1" applyFont="1" applyBorder="1" applyAlignment="1">
      <alignment horizontal="center"/>
    </xf>
    <xf numFmtId="0" fontId="18" fillId="0" borderId="0" xfId="0" quotePrefix="1" applyFont="1" applyBorder="1" applyAlignment="1">
      <alignment horizontal="left"/>
    </xf>
    <xf numFmtId="0" fontId="18" fillId="0" borderId="0" xfId="0" applyFont="1" applyBorder="1" applyAlignment="1">
      <alignment horizontal="left" wrapText="1"/>
    </xf>
    <xf numFmtId="1" fontId="18" fillId="0" borderId="0" xfId="0" applyNumberFormat="1" applyFont="1" applyBorder="1"/>
    <xf numFmtId="0" fontId="18" fillId="0" borderId="0" xfId="0" applyFont="1" applyBorder="1"/>
    <xf numFmtId="0" fontId="28" fillId="0" borderId="0" xfId="0" applyFont="1" applyBorder="1" applyAlignment="1">
      <alignment horizontal="left" wrapText="1"/>
    </xf>
    <xf numFmtId="0" fontId="5" fillId="0" borderId="2" xfId="0" quotePrefix="1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18" fillId="0" borderId="2" xfId="0" applyFont="1" applyBorder="1" applyAlignment="1">
      <alignment horizontal="center" wrapText="1"/>
    </xf>
    <xf numFmtId="0" fontId="18" fillId="0" borderId="2" xfId="0" applyFont="1" applyBorder="1" applyAlignment="1">
      <alignment horizontal="center"/>
    </xf>
    <xf numFmtId="0" fontId="5" fillId="0" borderId="2" xfId="0" applyFont="1" applyBorder="1"/>
    <xf numFmtId="1" fontId="18" fillId="0" borderId="2" xfId="0" applyNumberFormat="1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11" xfId="0" applyFont="1" applyFill="1" applyBorder="1" applyAlignment="1">
      <alignment horizontal="center"/>
    </xf>
    <xf numFmtId="0" fontId="0" fillId="0" borderId="0" xfId="0" applyAlignment="1"/>
    <xf numFmtId="0" fontId="29" fillId="0" borderId="19" xfId="0" applyFont="1" applyBorder="1"/>
    <xf numFmtId="0" fontId="28" fillId="0" borderId="5" xfId="0" applyFont="1" applyBorder="1" applyAlignment="1">
      <alignment horizontal="center"/>
    </xf>
    <xf numFmtId="0" fontId="31" fillId="0" borderId="7" xfId="0" applyFont="1" applyBorder="1"/>
    <xf numFmtId="0" fontId="28" fillId="0" borderId="19" xfId="0" applyFont="1" applyBorder="1" applyAlignment="1">
      <alignment horizontal="left"/>
    </xf>
    <xf numFmtId="0" fontId="30" fillId="0" borderId="6" xfId="0" applyFont="1" applyBorder="1" applyAlignment="1">
      <alignment horizontal="center" vertical="center"/>
    </xf>
    <xf numFmtId="14" fontId="29" fillId="0" borderId="5" xfId="0" applyNumberFormat="1" applyFont="1" applyBorder="1" applyAlignment="1">
      <alignment horizontal="center"/>
    </xf>
    <xf numFmtId="0" fontId="31" fillId="0" borderId="5" xfId="0" applyFont="1" applyBorder="1" applyAlignment="1">
      <alignment horizontal="right"/>
    </xf>
    <xf numFmtId="0" fontId="31" fillId="0" borderId="6" xfId="0" applyFont="1" applyBorder="1"/>
    <xf numFmtId="0" fontId="18" fillId="0" borderId="5" xfId="0" applyFont="1" applyBorder="1"/>
    <xf numFmtId="0" fontId="5" fillId="0" borderId="6" xfId="0" applyFont="1" applyBorder="1"/>
    <xf numFmtId="0" fontId="33" fillId="0" borderId="6" xfId="0" applyFont="1" applyBorder="1" applyAlignment="1">
      <alignment horizontal="center" vertical="center"/>
    </xf>
    <xf numFmtId="0" fontId="30" fillId="0" borderId="6" xfId="0" applyFont="1" applyFill="1" applyBorder="1" applyAlignment="1">
      <alignment horizontal="center" wrapText="1"/>
    </xf>
    <xf numFmtId="0" fontId="31" fillId="0" borderId="6" xfId="0" applyFont="1" applyBorder="1" applyAlignment="1"/>
    <xf numFmtId="0" fontId="31" fillId="0" borderId="0" xfId="0" applyFont="1" applyBorder="1" applyAlignment="1"/>
    <xf numFmtId="49" fontId="24" fillId="0" borderId="6" xfId="1" applyNumberFormat="1" applyFont="1" applyBorder="1"/>
    <xf numFmtId="49" fontId="24" fillId="5" borderId="0" xfId="1" applyNumberFormat="1" applyFont="1" applyFill="1" applyBorder="1"/>
    <xf numFmtId="49" fontId="26" fillId="5" borderId="0" xfId="1" applyNumberFormat="1" applyFont="1" applyFill="1" applyBorder="1" applyAlignment="1">
      <alignment horizontal="right"/>
    </xf>
    <xf numFmtId="49" fontId="26" fillId="0" borderId="0" xfId="1" applyNumberFormat="1" applyFont="1" applyBorder="1"/>
    <xf numFmtId="0" fontId="26" fillId="0" borderId="12" xfId="1" applyNumberFormat="1" applyFont="1" applyFill="1" applyBorder="1" applyAlignment="1">
      <alignment horizontal="center"/>
    </xf>
    <xf numFmtId="49" fontId="26" fillId="0" borderId="12" xfId="1" applyNumberFormat="1" applyFont="1" applyFill="1" applyBorder="1" applyAlignment="1">
      <alignment horizontal="center"/>
    </xf>
    <xf numFmtId="0" fontId="26" fillId="7" borderId="12" xfId="1" applyNumberFormat="1" applyFont="1" applyFill="1" applyBorder="1" applyAlignment="1">
      <alignment horizontal="center"/>
    </xf>
    <xf numFmtId="0" fontId="26" fillId="7" borderId="2" xfId="1" applyNumberFormat="1" applyFont="1" applyFill="1" applyBorder="1" applyAlignment="1">
      <alignment horizontal="center"/>
    </xf>
    <xf numFmtId="0" fontId="26" fillId="0" borderId="13" xfId="1" applyNumberFormat="1" applyFont="1" applyFill="1" applyBorder="1" applyAlignment="1">
      <alignment horizontal="center"/>
    </xf>
    <xf numFmtId="0" fontId="26" fillId="0" borderId="2" xfId="1" applyNumberFormat="1" applyFont="1" applyFill="1" applyBorder="1" applyAlignment="1">
      <alignment horizontal="center"/>
    </xf>
    <xf numFmtId="0" fontId="26" fillId="0" borderId="7" xfId="1" applyNumberFormat="1" applyFont="1" applyFill="1" applyBorder="1" applyAlignment="1">
      <alignment horizontal="center"/>
    </xf>
    <xf numFmtId="2" fontId="26" fillId="0" borderId="10" xfId="1" applyNumberFormat="1" applyFont="1" applyFill="1" applyBorder="1" applyAlignment="1">
      <alignment horizontal="center"/>
    </xf>
    <xf numFmtId="2" fontId="26" fillId="0" borderId="4" xfId="1" applyNumberFormat="1" applyFont="1" applyFill="1" applyBorder="1" applyAlignment="1">
      <alignment horizontal="center"/>
    </xf>
    <xf numFmtId="49" fontId="26" fillId="0" borderId="19" xfId="1" applyNumberFormat="1" applyFont="1" applyBorder="1" applyAlignment="1"/>
    <xf numFmtId="49" fontId="26" fillId="0" borderId="4" xfId="1" applyNumberFormat="1" applyFont="1" applyBorder="1" applyAlignment="1"/>
    <xf numFmtId="49" fontId="26" fillId="0" borderId="6" xfId="1" applyNumberFormat="1" applyFont="1" applyBorder="1" applyAlignment="1"/>
    <xf numFmtId="49" fontId="34" fillId="0" borderId="12" xfId="1" applyNumberFormat="1" applyFont="1" applyBorder="1" applyAlignment="1">
      <alignment horizontal="center" vertical="center" wrapText="1"/>
    </xf>
    <xf numFmtId="49" fontId="34" fillId="0" borderId="9" xfId="1" applyNumberFormat="1" applyFont="1" applyBorder="1" applyAlignment="1">
      <alignment horizontal="center" vertical="center" wrapText="1"/>
    </xf>
    <xf numFmtId="49" fontId="34" fillId="0" borderId="2" xfId="1" applyNumberFormat="1" applyFont="1" applyBorder="1" applyAlignment="1">
      <alignment horizontal="center" vertical="center" wrapText="1"/>
    </xf>
    <xf numFmtId="49" fontId="34" fillId="0" borderId="5" xfId="1" applyNumberFormat="1" applyFont="1" applyBorder="1" applyAlignment="1">
      <alignment horizontal="center" vertical="center" wrapText="1"/>
    </xf>
    <xf numFmtId="49" fontId="35" fillId="0" borderId="0" xfId="1" applyNumberFormat="1" applyFont="1" applyBorder="1" applyAlignment="1">
      <alignment horizontal="right"/>
    </xf>
    <xf numFmtId="49" fontId="26" fillId="0" borderId="1" xfId="1" applyNumberFormat="1" applyFont="1" applyBorder="1" applyAlignment="1"/>
    <xf numFmtId="49" fontId="26" fillId="0" borderId="3" xfId="1" applyNumberFormat="1" applyFont="1" applyBorder="1" applyAlignment="1"/>
    <xf numFmtId="0" fontId="26" fillId="0" borderId="10" xfId="1" applyNumberFormat="1" applyFont="1" applyFill="1" applyBorder="1" applyAlignment="1">
      <alignment horizontal="center"/>
    </xf>
    <xf numFmtId="0" fontId="26" fillId="0" borderId="4" xfId="1" applyNumberFormat="1" applyFont="1" applyFill="1" applyBorder="1" applyAlignment="1">
      <alignment horizontal="center"/>
    </xf>
    <xf numFmtId="14" fontId="18" fillId="0" borderId="4" xfId="1" applyNumberFormat="1" applyFont="1" applyBorder="1" applyAlignment="1">
      <alignment horizontal="center" vertical="center" wrapText="1"/>
    </xf>
    <xf numFmtId="0" fontId="33" fillId="0" borderId="0" xfId="0" applyFont="1" applyBorder="1" applyAlignment="1"/>
    <xf numFmtId="0" fontId="24" fillId="0" borderId="0" xfId="1" applyNumberFormat="1" applyFont="1"/>
    <xf numFmtId="2" fontId="28" fillId="0" borderId="0" xfId="0" applyNumberFormat="1" applyFont="1" applyBorder="1" applyAlignment="1">
      <alignment horizontal="center"/>
    </xf>
    <xf numFmtId="2" fontId="27" fillId="0" borderId="0" xfId="0" applyNumberFormat="1" applyFont="1" applyBorder="1" applyAlignment="1">
      <alignment horizontal="center"/>
    </xf>
    <xf numFmtId="2" fontId="18" fillId="0" borderId="0" xfId="0" applyNumberFormat="1" applyFont="1" applyBorder="1"/>
    <xf numFmtId="2" fontId="0" fillId="0" borderId="0" xfId="0" applyNumberFormat="1"/>
    <xf numFmtId="0" fontId="25" fillId="9" borderId="2" xfId="1" applyNumberFormat="1" applyFont="1" applyFill="1" applyBorder="1"/>
    <xf numFmtId="49" fontId="17" fillId="0" borderId="2" xfId="1" applyNumberFormat="1" applyFont="1" applyBorder="1"/>
    <xf numFmtId="49" fontId="17" fillId="0" borderId="2" xfId="1" applyNumberFormat="1" applyFont="1" applyFill="1" applyBorder="1"/>
    <xf numFmtId="49" fontId="17" fillId="0" borderId="2" xfId="1" applyNumberFormat="1" applyFont="1" applyBorder="1" applyAlignment="1">
      <alignment vertical="center"/>
    </xf>
    <xf numFmtId="2" fontId="17" fillId="0" borderId="2" xfId="1" applyNumberFormat="1" applyFont="1" applyBorder="1" applyAlignment="1">
      <alignment horizontal="center"/>
    </xf>
    <xf numFmtId="0" fontId="24" fillId="0" borderId="2" xfId="1" applyNumberFormat="1" applyFont="1" applyBorder="1"/>
    <xf numFmtId="2" fontId="24" fillId="0" borderId="2" xfId="1" applyNumberFormat="1" applyFont="1" applyBorder="1"/>
    <xf numFmtId="49" fontId="26" fillId="0" borderId="2" xfId="1" applyNumberFormat="1" applyFont="1" applyBorder="1" applyAlignment="1">
      <alignment horizontal="center" vertical="center"/>
    </xf>
    <xf numFmtId="49" fontId="26" fillId="0" borderId="2" xfId="1" applyNumberFormat="1" applyFont="1" applyFill="1" applyBorder="1" applyAlignment="1">
      <alignment horizontal="center" vertical="center"/>
    </xf>
    <xf numFmtId="2" fontId="17" fillId="0" borderId="2" xfId="1" applyNumberFormat="1" applyFont="1" applyBorder="1"/>
    <xf numFmtId="2" fontId="25" fillId="0" borderId="2" xfId="1" applyNumberFormat="1" applyFont="1" applyBorder="1" applyAlignment="1"/>
    <xf numFmtId="1" fontId="17" fillId="0" borderId="2" xfId="1" applyNumberFormat="1" applyFont="1" applyBorder="1" applyAlignment="1">
      <alignment horizontal="center"/>
    </xf>
    <xf numFmtId="1" fontId="37" fillId="0" borderId="2" xfId="1" applyNumberFormat="1" applyFont="1" applyBorder="1" applyAlignment="1">
      <alignment horizontal="center"/>
    </xf>
    <xf numFmtId="2" fontId="17" fillId="0" borderId="2" xfId="1" applyNumberFormat="1" applyFont="1" applyBorder="1" applyAlignment="1"/>
    <xf numFmtId="164" fontId="38" fillId="0" borderId="2" xfId="1" applyNumberFormat="1" applyFont="1" applyBorder="1"/>
    <xf numFmtId="2" fontId="17" fillId="0" borderId="2" xfId="1" applyNumberFormat="1" applyFont="1" applyFill="1" applyBorder="1"/>
    <xf numFmtId="2" fontId="26" fillId="0" borderId="2" xfId="1" applyNumberFormat="1" applyFont="1" applyFill="1" applyBorder="1" applyAlignment="1">
      <alignment vertical="center" wrapText="1"/>
    </xf>
    <xf numFmtId="2" fontId="36" fillId="0" borderId="2" xfId="1" applyNumberFormat="1" applyFont="1" applyBorder="1" applyAlignment="1"/>
    <xf numFmtId="1" fontId="25" fillId="0" borderId="2" xfId="1" applyNumberFormat="1" applyFont="1" applyBorder="1"/>
    <xf numFmtId="2" fontId="37" fillId="0" borderId="2" xfId="1" applyNumberFormat="1" applyFont="1" applyBorder="1"/>
    <xf numFmtId="2" fontId="26" fillId="0" borderId="2" xfId="1" applyNumberFormat="1" applyFont="1" applyBorder="1" applyAlignment="1">
      <alignment horizontal="center" vertical="center" wrapText="1"/>
    </xf>
    <xf numFmtId="49" fontId="26" fillId="0" borderId="2" xfId="1" applyNumberFormat="1" applyFont="1" applyBorder="1" applyAlignment="1">
      <alignment horizontal="center" vertical="center" wrapText="1"/>
    </xf>
    <xf numFmtId="49" fontId="27" fillId="0" borderId="2" xfId="1" applyNumberFormat="1" applyFont="1" applyBorder="1" applyAlignment="1">
      <alignment horizontal="center" vertical="center" wrapText="1"/>
    </xf>
    <xf numFmtId="49" fontId="26" fillId="0" borderId="2" xfId="1" applyNumberFormat="1" applyFont="1" applyBorder="1" applyAlignment="1">
      <alignment vertical="center"/>
    </xf>
    <xf numFmtId="49" fontId="24" fillId="0" borderId="2" xfId="1" applyNumberFormat="1" applyFont="1" applyBorder="1"/>
    <xf numFmtId="49" fontId="24" fillId="0" borderId="2" xfId="1" applyNumberFormat="1" applyFont="1" applyBorder="1" applyAlignment="1"/>
    <xf numFmtId="49" fontId="25" fillId="0" borderId="3" xfId="1" applyNumberFormat="1" applyFont="1" applyBorder="1" applyAlignment="1">
      <alignment horizontal="center" vertical="top"/>
    </xf>
    <xf numFmtId="0" fontId="39" fillId="0" borderId="15" xfId="0" applyFont="1" applyBorder="1"/>
    <xf numFmtId="0" fontId="39" fillId="0" borderId="15" xfId="0" applyFont="1" applyBorder="1" applyAlignment="1">
      <alignment wrapText="1"/>
    </xf>
    <xf numFmtId="0" fontId="15" fillId="4" borderId="15" xfId="0" applyFont="1" applyFill="1" applyBorder="1" applyAlignment="1">
      <alignment wrapText="1"/>
    </xf>
    <xf numFmtId="0" fontId="15" fillId="4" borderId="15" xfId="0" applyFont="1" applyFill="1" applyBorder="1"/>
    <xf numFmtId="0" fontId="16" fillId="0" borderId="2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0" fontId="16" fillId="4" borderId="20" xfId="0" applyFont="1" applyFill="1" applyBorder="1" applyAlignment="1">
      <alignment wrapText="1"/>
    </xf>
    <xf numFmtId="0" fontId="41" fillId="0" borderId="20" xfId="0" applyFont="1" applyBorder="1" applyAlignment="1"/>
    <xf numFmtId="0" fontId="41" fillId="0" borderId="21" xfId="0" applyFont="1" applyBorder="1" applyAlignment="1"/>
    <xf numFmtId="0" fontId="41" fillId="0" borderId="22" xfId="0" applyFont="1" applyBorder="1" applyAlignment="1"/>
    <xf numFmtId="0" fontId="15" fillId="0" borderId="17" xfId="0" applyFont="1" applyBorder="1"/>
    <xf numFmtId="0" fontId="0" fillId="0" borderId="0" xfId="0" applyAlignment="1">
      <alignment horizontal="left"/>
    </xf>
    <xf numFmtId="0" fontId="15" fillId="0" borderId="23" xfId="0" applyFont="1" applyBorder="1" applyAlignment="1">
      <alignment wrapText="1"/>
    </xf>
    <xf numFmtId="0" fontId="22" fillId="0" borderId="17" xfId="0" applyFont="1" applyBorder="1" applyAlignment="1"/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3" fillId="0" borderId="15" xfId="0" applyFont="1" applyBorder="1" applyAlignment="1">
      <alignment wrapText="1"/>
    </xf>
    <xf numFmtId="49" fontId="17" fillId="0" borderId="0" xfId="1" applyNumberFormat="1" applyFont="1" applyBorder="1" applyAlignment="1">
      <alignment horizontal="left"/>
    </xf>
    <xf numFmtId="49" fontId="35" fillId="0" borderId="0" xfId="1" applyNumberFormat="1" applyFont="1" applyBorder="1" applyAlignment="1">
      <alignment horizontal="center"/>
    </xf>
    <xf numFmtId="49" fontId="35" fillId="0" borderId="5" xfId="1" applyNumberFormat="1" applyFont="1" applyBorder="1" applyAlignment="1">
      <alignment horizontal="center"/>
    </xf>
    <xf numFmtId="2" fontId="25" fillId="0" borderId="12" xfId="1" applyNumberFormat="1" applyFont="1" applyBorder="1" applyAlignment="1">
      <alignment horizontal="center"/>
    </xf>
    <xf numFmtId="2" fontId="25" fillId="0" borderId="13" xfId="1" applyNumberFormat="1" applyFont="1" applyBorder="1" applyAlignment="1">
      <alignment horizontal="center"/>
    </xf>
    <xf numFmtId="0" fontId="0" fillId="0" borderId="3" xfId="0" applyBorder="1"/>
    <xf numFmtId="14" fontId="51" fillId="12" borderId="2" xfId="6" applyNumberFormat="1" applyFont="1" applyBorder="1" applyAlignment="1">
      <alignment horizontal="left"/>
    </xf>
    <xf numFmtId="2" fontId="52" fillId="11" borderId="2" xfId="5" applyNumberFormat="1" applyFont="1" applyBorder="1" applyAlignment="1"/>
    <xf numFmtId="2" fontId="53" fillId="13" borderId="2" xfId="7" applyNumberFormat="1" applyFont="1" applyBorder="1" applyAlignment="1"/>
    <xf numFmtId="0" fontId="16" fillId="0" borderId="15" xfId="0" applyFont="1" applyBorder="1" applyAlignment="1">
      <alignment horizontal="center" wrapText="1"/>
    </xf>
    <xf numFmtId="0" fontId="41" fillId="0" borderId="15" xfId="0" applyFont="1" applyBorder="1" applyAlignment="1">
      <alignment horizontal="center"/>
    </xf>
    <xf numFmtId="0" fontId="54" fillId="0" borderId="15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6" fillId="0" borderId="17" xfId="0" applyFont="1" applyBorder="1"/>
    <xf numFmtId="0" fontId="56" fillId="0" borderId="15" xfId="0" applyFont="1" applyBorder="1" applyAlignment="1">
      <alignment wrapText="1"/>
    </xf>
    <xf numFmtId="0" fontId="16" fillId="0" borderId="21" xfId="0" applyFont="1" applyBorder="1"/>
    <xf numFmtId="0" fontId="16" fillId="0" borderId="22" xfId="0" applyFont="1" applyBorder="1"/>
    <xf numFmtId="0" fontId="26" fillId="0" borderId="12" xfId="1" applyFont="1" applyFill="1" applyBorder="1" applyAlignment="1">
      <alignment horizontal="center"/>
    </xf>
    <xf numFmtId="0" fontId="26" fillId="0" borderId="2" xfId="1" applyFont="1" applyFill="1" applyBorder="1" applyAlignment="1">
      <alignment horizontal="center"/>
    </xf>
    <xf numFmtId="0" fontId="26" fillId="0" borderId="13" xfId="1" applyFont="1" applyFill="1" applyBorder="1" applyAlignment="1">
      <alignment horizontal="center"/>
    </xf>
    <xf numFmtId="49" fontId="26" fillId="0" borderId="12" xfId="1" quotePrefix="1" applyNumberFormat="1" applyFont="1" applyFill="1" applyBorder="1" applyAlignment="1">
      <alignment horizontal="center"/>
    </xf>
    <xf numFmtId="0" fontId="55" fillId="0" borderId="15" xfId="0" applyFont="1" applyBorder="1" applyAlignment="1">
      <alignment horizontal="center" wrapText="1"/>
    </xf>
    <xf numFmtId="0" fontId="15" fillId="0" borderId="25" xfId="0" applyFont="1" applyBorder="1"/>
    <xf numFmtId="0" fontId="54" fillId="0" borderId="15" xfId="0" applyFont="1" applyBorder="1" applyAlignment="1">
      <alignment horizontal="center" wrapText="1"/>
    </xf>
    <xf numFmtId="0" fontId="58" fillId="0" borderId="2" xfId="1" applyNumberFormat="1" applyFont="1" applyBorder="1"/>
    <xf numFmtId="0" fontId="26" fillId="0" borderId="12" xfId="1" applyFont="1" applyBorder="1" applyAlignment="1">
      <alignment horizontal="center"/>
    </xf>
    <xf numFmtId="0" fontId="26" fillId="0" borderId="2" xfId="1" applyFont="1" applyBorder="1" applyAlignment="1">
      <alignment horizontal="center"/>
    </xf>
    <xf numFmtId="0" fontId="26" fillId="0" borderId="13" xfId="1" applyFont="1" applyBorder="1" applyAlignment="1">
      <alignment horizontal="center"/>
    </xf>
    <xf numFmtId="0" fontId="22" fillId="4" borderId="17" xfId="0" applyFont="1" applyFill="1" applyBorder="1" applyAlignment="1">
      <alignment horizontal="left"/>
    </xf>
    <xf numFmtId="0" fontId="54" fillId="0" borderId="20" xfId="0" applyFont="1" applyBorder="1" applyAlignment="1">
      <alignment wrapText="1"/>
    </xf>
    <xf numFmtId="0" fontId="56" fillId="0" borderId="15" xfId="0" applyFont="1" applyBorder="1"/>
    <xf numFmtId="0" fontId="56" fillId="3" borderId="15" xfId="0" applyFont="1" applyFill="1" applyBorder="1" applyAlignment="1">
      <alignment horizontal="center"/>
    </xf>
    <xf numFmtId="0" fontId="56" fillId="0" borderId="15" xfId="0" applyFont="1" applyBorder="1" applyAlignment="1">
      <alignment horizontal="center" wrapText="1"/>
    </xf>
    <xf numFmtId="0" fontId="59" fillId="0" borderId="15" xfId="0" applyFont="1" applyBorder="1" applyAlignment="1">
      <alignment wrapText="1"/>
    </xf>
    <xf numFmtId="0" fontId="59" fillId="0" borderId="15" xfId="0" applyFont="1" applyBorder="1" applyAlignment="1">
      <alignment horizontal="center"/>
    </xf>
    <xf numFmtId="0" fontId="55" fillId="4" borderId="15" xfId="0" applyFont="1" applyFill="1" applyBorder="1" applyAlignment="1">
      <alignment horizontal="left"/>
    </xf>
    <xf numFmtId="0" fontId="59" fillId="0" borderId="15" xfId="0" applyFont="1" applyBorder="1"/>
    <xf numFmtId="0" fontId="59" fillId="0" borderId="15" xfId="0" applyFont="1" applyBorder="1" applyAlignment="1">
      <alignment horizontal="center" wrapText="1"/>
    </xf>
    <xf numFmtId="0" fontId="56" fillId="4" borderId="15" xfId="0" applyFont="1" applyFill="1" applyBorder="1"/>
    <xf numFmtId="0" fontId="56" fillId="4" borderId="15" xfId="0" applyFont="1" applyFill="1" applyBorder="1" applyAlignment="1">
      <alignment wrapText="1"/>
    </xf>
    <xf numFmtId="0" fontId="56" fillId="4" borderId="15" xfId="0" applyFont="1" applyFill="1" applyBorder="1" applyAlignment="1">
      <alignment horizontal="center"/>
    </xf>
    <xf numFmtId="0" fontId="55" fillId="4" borderId="15" xfId="0" applyFont="1" applyFill="1" applyBorder="1" applyAlignment="1">
      <alignment horizontal="center" wrapText="1"/>
    </xf>
    <xf numFmtId="0" fontId="56" fillId="0" borderId="15" xfId="0" applyFont="1" applyFill="1" applyBorder="1" applyAlignment="1">
      <alignment wrapText="1"/>
    </xf>
    <xf numFmtId="0" fontId="59" fillId="3" borderId="15" xfId="0" applyFont="1" applyFill="1" applyBorder="1" applyAlignment="1">
      <alignment horizontal="center"/>
    </xf>
    <xf numFmtId="0" fontId="5" fillId="0" borderId="0" xfId="1" applyBorder="1" applyAlignment="1">
      <alignment wrapText="1"/>
    </xf>
    <xf numFmtId="49" fontId="40" fillId="0" borderId="12" xfId="1" applyNumberFormat="1" applyFont="1" applyBorder="1" applyAlignment="1">
      <alignment horizontal="center"/>
    </xf>
    <xf numFmtId="0" fontId="60" fillId="0" borderId="15" xfId="0" applyFont="1" applyBorder="1" applyAlignment="1">
      <alignment horizontal="center" wrapText="1"/>
    </xf>
    <xf numFmtId="0" fontId="16" fillId="0" borderId="20" xfId="0" applyFont="1" applyBorder="1"/>
    <xf numFmtId="49" fontId="26" fillId="0" borderId="7" xfId="1" applyNumberFormat="1" applyFont="1" applyFill="1" applyBorder="1" applyAlignment="1">
      <alignment horizontal="center"/>
    </xf>
    <xf numFmtId="49" fontId="17" fillId="0" borderId="0" xfId="1" applyNumberFormat="1" applyFont="1" applyBorder="1" applyAlignment="1">
      <alignment horizontal="center"/>
    </xf>
    <xf numFmtId="0" fontId="14" fillId="15" borderId="15" xfId="0" applyFont="1" applyFill="1" applyBorder="1"/>
    <xf numFmtId="0" fontId="15" fillId="15" borderId="15" xfId="0" applyFont="1" applyFill="1" applyBorder="1"/>
    <xf numFmtId="0" fontId="15" fillId="15" borderId="15" xfId="0" applyFont="1" applyFill="1" applyBorder="1" applyAlignment="1">
      <alignment wrapText="1"/>
    </xf>
    <xf numFmtId="0" fontId="21" fillId="15" borderId="15" xfId="0" applyFont="1" applyFill="1" applyBorder="1" applyAlignment="1">
      <alignment horizontal="center"/>
    </xf>
    <xf numFmtId="0" fontId="14" fillId="15" borderId="15" xfId="0" applyFont="1" applyFill="1" applyBorder="1" applyAlignment="1">
      <alignment horizontal="center"/>
    </xf>
    <xf numFmtId="0" fontId="16" fillId="15" borderId="15" xfId="0" applyFont="1" applyFill="1" applyBorder="1" applyAlignment="1">
      <alignment horizontal="center"/>
    </xf>
    <xf numFmtId="0" fontId="16" fillId="15" borderId="20" xfId="0" applyFont="1" applyFill="1" applyBorder="1" applyAlignment="1">
      <alignment wrapText="1"/>
    </xf>
    <xf numFmtId="0" fontId="16" fillId="15" borderId="21" xfId="0" applyFont="1" applyFill="1" applyBorder="1" applyAlignment="1"/>
    <xf numFmtId="0" fontId="16" fillId="15" borderId="22" xfId="0" applyFont="1" applyFill="1" applyBorder="1" applyAlignment="1"/>
    <xf numFmtId="0" fontId="16" fillId="15" borderId="20" xfId="0" applyFont="1" applyFill="1" applyBorder="1" applyAlignment="1"/>
    <xf numFmtId="0" fontId="39" fillId="15" borderId="15" xfId="0" applyFont="1" applyFill="1" applyBorder="1"/>
    <xf numFmtId="0" fontId="16" fillId="15" borderId="20" xfId="0" quotePrefix="1" applyFont="1" applyFill="1" applyBorder="1" applyAlignment="1"/>
    <xf numFmtId="0" fontId="14" fillId="16" borderId="15" xfId="0" applyFont="1" applyFill="1" applyBorder="1"/>
    <xf numFmtId="0" fontId="15" fillId="16" borderId="15" xfId="0" applyFont="1" applyFill="1" applyBorder="1"/>
    <xf numFmtId="0" fontId="15" fillId="16" borderId="15" xfId="0" applyFont="1" applyFill="1" applyBorder="1" applyAlignment="1">
      <alignment wrapText="1"/>
    </xf>
    <xf numFmtId="0" fontId="14" fillId="16" borderId="15" xfId="0" applyFont="1" applyFill="1" applyBorder="1" applyAlignment="1">
      <alignment horizontal="center"/>
    </xf>
    <xf numFmtId="0" fontId="16" fillId="16" borderId="15" xfId="0" applyFont="1" applyFill="1" applyBorder="1" applyAlignment="1">
      <alignment horizontal="center"/>
    </xf>
    <xf numFmtId="0" fontId="16" fillId="16" borderId="20" xfId="0" applyFont="1" applyFill="1" applyBorder="1" applyAlignment="1"/>
    <xf numFmtId="0" fontId="16" fillId="16" borderId="21" xfId="0" applyFont="1" applyFill="1" applyBorder="1" applyAlignment="1"/>
    <xf numFmtId="0" fontId="16" fillId="16" borderId="22" xfId="0" applyFont="1" applyFill="1" applyBorder="1" applyAlignment="1"/>
    <xf numFmtId="0" fontId="54" fillId="16" borderId="20" xfId="0" applyFont="1" applyFill="1" applyBorder="1" applyAlignment="1"/>
    <xf numFmtId="0" fontId="0" fillId="16" borderId="0" xfId="0" applyFill="1"/>
    <xf numFmtId="0" fontId="16" fillId="17" borderId="15" xfId="0" applyFont="1" applyFill="1" applyBorder="1" applyAlignment="1">
      <alignment horizontal="center"/>
    </xf>
    <xf numFmtId="0" fontId="41" fillId="17" borderId="15" xfId="0" applyFont="1" applyFill="1" applyBorder="1" applyAlignment="1">
      <alignment horizontal="center"/>
    </xf>
    <xf numFmtId="0" fontId="0" fillId="17" borderId="0" xfId="0" applyFill="1" applyAlignment="1">
      <alignment horizontal="center"/>
    </xf>
    <xf numFmtId="0" fontId="16" fillId="18" borderId="15" xfId="0" applyFont="1" applyFill="1" applyBorder="1" applyAlignment="1">
      <alignment horizontal="center" wrapText="1"/>
    </xf>
    <xf numFmtId="0" fontId="41" fillId="18" borderId="15" xfId="0" applyFont="1" applyFill="1" applyBorder="1" applyAlignment="1">
      <alignment horizontal="center" wrapText="1"/>
    </xf>
    <xf numFmtId="0" fontId="54" fillId="18" borderId="15" xfId="0" applyFont="1" applyFill="1" applyBorder="1" applyAlignment="1">
      <alignment horizontal="center" wrapText="1"/>
    </xf>
    <xf numFmtId="0" fontId="0" fillId="18" borderId="0" xfId="0" applyFill="1" applyAlignment="1">
      <alignment horizontal="center"/>
    </xf>
    <xf numFmtId="0" fontId="5" fillId="0" borderId="2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2" fontId="5" fillId="10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14" fillId="0" borderId="17" xfId="0" applyFont="1" applyBorder="1"/>
    <xf numFmtId="0" fontId="15" fillId="0" borderId="17" xfId="0" applyFont="1" applyBorder="1" applyAlignment="1">
      <alignment wrapText="1"/>
    </xf>
    <xf numFmtId="0" fontId="14" fillId="0" borderId="17" xfId="0" applyFont="1" applyBorder="1" applyAlignment="1">
      <alignment horizontal="center"/>
    </xf>
    <xf numFmtId="0" fontId="14" fillId="3" borderId="17" xfId="0" applyFont="1" applyFill="1" applyBorder="1" applyAlignment="1">
      <alignment horizontal="center"/>
    </xf>
    <xf numFmtId="0" fontId="16" fillId="17" borderId="17" xfId="0" applyFont="1" applyFill="1" applyBorder="1" applyAlignment="1">
      <alignment horizontal="center"/>
    </xf>
    <xf numFmtId="0" fontId="16" fillId="18" borderId="17" xfId="0" applyFont="1" applyFill="1" applyBorder="1" applyAlignment="1">
      <alignment horizontal="center" wrapText="1"/>
    </xf>
    <xf numFmtId="0" fontId="16" fillId="0" borderId="17" xfId="0" applyFont="1" applyBorder="1" applyAlignment="1">
      <alignment horizontal="center"/>
    </xf>
    <xf numFmtId="0" fontId="16" fillId="0" borderId="26" xfId="0" applyFont="1" applyBorder="1" applyAlignment="1">
      <alignment wrapText="1"/>
    </xf>
    <xf numFmtId="0" fontId="16" fillId="0" borderId="27" xfId="0" applyFont="1" applyBorder="1" applyAlignment="1">
      <alignment wrapText="1"/>
    </xf>
    <xf numFmtId="0" fontId="16" fillId="0" borderId="28" xfId="0" applyFont="1" applyBorder="1" applyAlignment="1">
      <alignment wrapText="1"/>
    </xf>
    <xf numFmtId="0" fontId="7" fillId="17" borderId="2" xfId="2" applyFont="1" applyFill="1" applyBorder="1" applyAlignment="1">
      <alignment horizontal="center" wrapText="1"/>
    </xf>
    <xf numFmtId="0" fontId="7" fillId="18" borderId="2" xfId="2" applyFont="1" applyFill="1" applyBorder="1" applyAlignment="1">
      <alignment horizontal="center" wrapText="1"/>
    </xf>
    <xf numFmtId="0" fontId="7" fillId="0" borderId="2" xfId="2" applyFont="1" applyBorder="1" applyAlignment="1">
      <alignment horizontal="center" wrapText="1"/>
    </xf>
    <xf numFmtId="2" fontId="5" fillId="0" borderId="2" xfId="0" applyNumberFormat="1" applyFont="1" applyBorder="1" applyAlignment="1">
      <alignment horizontal="center" vertical="center"/>
    </xf>
    <xf numFmtId="2" fontId="26" fillId="0" borderId="2" xfId="1" applyNumberFormat="1" applyFont="1" applyBorder="1" applyAlignment="1">
      <alignment horizontal="center" wrapText="1"/>
    </xf>
    <xf numFmtId="49" fontId="25" fillId="0" borderId="0" xfId="1" applyNumberFormat="1" applyFont="1" applyBorder="1" applyAlignment="1">
      <alignment wrapText="1"/>
    </xf>
    <xf numFmtId="49" fontId="17" fillId="0" borderId="0" xfId="1" applyNumberFormat="1" applyFont="1" applyAlignment="1"/>
    <xf numFmtId="2" fontId="27" fillId="0" borderId="2" xfId="1" applyNumberFormat="1" applyFont="1" applyBorder="1" applyAlignment="1">
      <alignment horizontal="center" wrapText="1"/>
    </xf>
    <xf numFmtId="49" fontId="17" fillId="0" borderId="0" xfId="1" applyNumberFormat="1" applyFont="1" applyBorder="1" applyAlignment="1"/>
    <xf numFmtId="0" fontId="26" fillId="0" borderId="13" xfId="1" applyFont="1" applyFill="1" applyBorder="1" applyAlignment="1">
      <alignment horizontal="center" wrapText="1"/>
    </xf>
    <xf numFmtId="0" fontId="56" fillId="0" borderId="20" xfId="0" applyFont="1" applyBorder="1" applyAlignment="1">
      <alignment wrapText="1"/>
    </xf>
    <xf numFmtId="0" fontId="56" fillId="0" borderId="21" xfId="0" applyFont="1" applyBorder="1" applyAlignment="1">
      <alignment wrapText="1"/>
    </xf>
    <xf numFmtId="0" fontId="56" fillId="0" borderId="22" xfId="0" applyFont="1" applyBorder="1" applyAlignment="1">
      <alignment wrapText="1"/>
    </xf>
    <xf numFmtId="0" fontId="55" fillId="0" borderId="21" xfId="0" applyFont="1" applyBorder="1" applyAlignment="1">
      <alignment wrapText="1"/>
    </xf>
    <xf numFmtId="0" fontId="55" fillId="0" borderId="22" xfId="0" applyFont="1" applyBorder="1" applyAlignment="1">
      <alignment wrapText="1"/>
    </xf>
    <xf numFmtId="0" fontId="59" fillId="0" borderId="21" xfId="0" applyFont="1" applyBorder="1" applyAlignment="1">
      <alignment wrapText="1"/>
    </xf>
    <xf numFmtId="0" fontId="59" fillId="0" borderId="22" xfId="0" applyFont="1" applyBorder="1" applyAlignment="1">
      <alignment wrapText="1"/>
    </xf>
    <xf numFmtId="0" fontId="16" fillId="0" borderId="15" xfId="0" quotePrefix="1" applyFont="1" applyBorder="1" applyAlignment="1">
      <alignment horizontal="center"/>
    </xf>
    <xf numFmtId="0" fontId="14" fillId="0" borderId="15" xfId="0" applyFont="1" applyFill="1" applyBorder="1"/>
    <xf numFmtId="0" fontId="39" fillId="0" borderId="15" xfId="0" applyFont="1" applyFill="1" applyBorder="1"/>
    <xf numFmtId="0" fontId="15" fillId="0" borderId="15" xfId="0" applyFont="1" applyFill="1" applyBorder="1" applyAlignment="1">
      <alignment wrapText="1"/>
    </xf>
    <xf numFmtId="0" fontId="21" fillId="0" borderId="15" xfId="0" applyFont="1" applyFill="1" applyBorder="1" applyAlignment="1">
      <alignment horizontal="center"/>
    </xf>
    <xf numFmtId="0" fontId="14" fillId="0" borderId="15" xfId="0" applyFont="1" applyFill="1" applyBorder="1" applyAlignment="1">
      <alignment horizontal="center"/>
    </xf>
    <xf numFmtId="0" fontId="16" fillId="0" borderId="15" xfId="0" applyFont="1" applyFill="1" applyBorder="1" applyAlignment="1">
      <alignment horizontal="center"/>
    </xf>
    <xf numFmtId="0" fontId="16" fillId="0" borderId="15" xfId="0" applyFont="1" applyFill="1" applyBorder="1" applyAlignment="1">
      <alignment horizontal="center" wrapText="1"/>
    </xf>
    <xf numFmtId="0" fontId="16" fillId="0" borderId="20" xfId="0" applyFont="1" applyFill="1" applyBorder="1" applyAlignment="1">
      <alignment wrapText="1"/>
    </xf>
    <xf numFmtId="0" fontId="16" fillId="0" borderId="21" xfId="0" applyFont="1" applyFill="1" applyBorder="1" applyAlignment="1"/>
    <xf numFmtId="0" fontId="16" fillId="0" borderId="22" xfId="0" applyFont="1" applyFill="1" applyBorder="1" applyAlignment="1"/>
    <xf numFmtId="0" fontId="0" fillId="0" borderId="0" xfId="0" applyFill="1"/>
    <xf numFmtId="0" fontId="16" fillId="0" borderId="20" xfId="0" applyFont="1" applyFill="1" applyBorder="1" applyAlignment="1"/>
    <xf numFmtId="0" fontId="61" fillId="0" borderId="29" xfId="0" applyFont="1" applyBorder="1" applyAlignment="1">
      <alignment wrapText="1"/>
    </xf>
    <xf numFmtId="0" fontId="61" fillId="0" borderId="30" xfId="0" applyFont="1" applyBorder="1" applyAlignment="1">
      <alignment wrapText="1"/>
    </xf>
    <xf numFmtId="0" fontId="61" fillId="0" borderId="31" xfId="0" applyFont="1" applyBorder="1" applyAlignment="1">
      <alignment wrapText="1"/>
    </xf>
    <xf numFmtId="0" fontId="61" fillId="0" borderId="20" xfId="0" applyFont="1" applyBorder="1" applyAlignment="1">
      <alignment wrapText="1"/>
    </xf>
    <xf numFmtId="0" fontId="61" fillId="0" borderId="21" xfId="0" applyFont="1" applyBorder="1" applyAlignment="1">
      <alignment wrapText="1"/>
    </xf>
    <xf numFmtId="0" fontId="61" fillId="0" borderId="22" xfId="0" applyFont="1" applyBorder="1" applyAlignment="1">
      <alignment wrapText="1"/>
    </xf>
    <xf numFmtId="0" fontId="8" fillId="0" borderId="0" xfId="0" applyFont="1" applyAlignment="1">
      <alignment horizontal="left" wrapText="1"/>
    </xf>
    <xf numFmtId="0" fontId="61" fillId="0" borderId="15" xfId="0" applyFont="1" applyBorder="1" applyAlignment="1">
      <alignment horizontal="center"/>
    </xf>
    <xf numFmtId="0" fontId="61" fillId="0" borderId="15" xfId="0" applyFont="1" applyBorder="1" applyAlignment="1">
      <alignment horizontal="center" wrapText="1"/>
    </xf>
    <xf numFmtId="0" fontId="62" fillId="0" borderId="15" xfId="0" applyFont="1" applyBorder="1" applyAlignment="1">
      <alignment horizontal="center" wrapText="1"/>
    </xf>
    <xf numFmtId="0" fontId="63" fillId="0" borderId="15" xfId="0" applyFont="1" applyBorder="1" applyAlignment="1">
      <alignment horizontal="center"/>
    </xf>
    <xf numFmtId="0" fontId="63" fillId="0" borderId="15" xfId="0" applyFont="1" applyBorder="1" applyAlignment="1">
      <alignment horizontal="center" wrapText="1"/>
    </xf>
    <xf numFmtId="0" fontId="8" fillId="0" borderId="0" xfId="0" applyFont="1"/>
    <xf numFmtId="0" fontId="1" fillId="2" borderId="18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15" xfId="0" quotePrefix="1" applyFont="1" applyBorder="1" applyAlignment="1">
      <alignment horizontal="center" wrapText="1"/>
    </xf>
    <xf numFmtId="0" fontId="21" fillId="0" borderId="15" xfId="0" applyFont="1" applyBorder="1" applyAlignment="1">
      <alignment wrapText="1"/>
    </xf>
    <xf numFmtId="0" fontId="22" fillId="4" borderId="15" xfId="0" applyFont="1" applyFill="1" applyBorder="1" applyAlignment="1">
      <alignment horizontal="left"/>
    </xf>
    <xf numFmtId="0" fontId="15" fillId="15" borderId="17" xfId="0" applyFont="1" applyFill="1" applyBorder="1"/>
    <xf numFmtId="0" fontId="39" fillId="15" borderId="17" xfId="0" applyFont="1" applyFill="1" applyBorder="1"/>
    <xf numFmtId="0" fontId="22" fillId="0" borderId="15" xfId="0" applyFont="1" applyBorder="1" applyAlignment="1"/>
    <xf numFmtId="0" fontId="15" fillId="4" borderId="17" xfId="0" applyFont="1" applyFill="1" applyBorder="1"/>
    <xf numFmtId="0" fontId="39" fillId="0" borderId="17" xfId="0" applyFont="1" applyBorder="1"/>
    <xf numFmtId="0" fontId="15" fillId="16" borderId="17" xfId="0" applyFont="1" applyFill="1" applyBorder="1"/>
    <xf numFmtId="0" fontId="39" fillId="0" borderId="17" xfId="0" applyFont="1" applyBorder="1" applyAlignment="1">
      <alignment wrapText="1"/>
    </xf>
    <xf numFmtId="0" fontId="5" fillId="0" borderId="15" xfId="1" applyBorder="1" applyAlignment="1">
      <alignment wrapText="1"/>
    </xf>
    <xf numFmtId="0" fontId="39" fillId="0" borderId="0" xfId="0" applyFont="1" applyBorder="1" applyAlignment="1">
      <alignment wrapText="1"/>
    </xf>
    <xf numFmtId="0" fontId="21" fillId="0" borderId="17" xfId="0" applyFont="1" applyBorder="1" applyAlignment="1">
      <alignment horizontal="center"/>
    </xf>
    <xf numFmtId="0" fontId="16" fillId="0" borderId="26" xfId="0" applyFont="1" applyBorder="1" applyAlignment="1"/>
    <xf numFmtId="0" fontId="16" fillId="0" borderId="27" xfId="0" applyFont="1" applyBorder="1" applyAlignment="1"/>
    <xf numFmtId="0" fontId="16" fillId="0" borderId="28" xfId="0" applyFont="1" applyBorder="1" applyAlignment="1"/>
    <xf numFmtId="0" fontId="59" fillId="4" borderId="15" xfId="0" applyFont="1" applyFill="1" applyBorder="1" applyAlignment="1">
      <alignment horizontal="left"/>
    </xf>
    <xf numFmtId="0" fontId="59" fillId="0" borderId="17" xfId="0" applyFont="1" applyBorder="1"/>
    <xf numFmtId="0" fontId="55" fillId="0" borderId="15" xfId="0" applyFont="1" applyBorder="1"/>
    <xf numFmtId="0" fontId="64" fillId="0" borderId="20" xfId="0" applyFont="1" applyBorder="1" applyAlignment="1"/>
    <xf numFmtId="0" fontId="65" fillId="0" borderId="20" xfId="0" applyFont="1" applyBorder="1" applyAlignment="1"/>
    <xf numFmtId="0" fontId="66" fillId="0" borderId="20" xfId="0" applyFont="1" applyBorder="1" applyAlignment="1"/>
    <xf numFmtId="0" fontId="8" fillId="0" borderId="0" xfId="0" applyFont="1" applyAlignment="1">
      <alignment horizontal="left"/>
    </xf>
    <xf numFmtId="0" fontId="1" fillId="19" borderId="16" xfId="0" applyFont="1" applyFill="1" applyBorder="1" applyAlignment="1">
      <alignment horizontal="center"/>
    </xf>
    <xf numFmtId="0" fontId="56" fillId="19" borderId="15" xfId="0" applyFont="1" applyFill="1" applyBorder="1"/>
    <xf numFmtId="0" fontId="59" fillId="19" borderId="15" xfId="0" applyFont="1" applyFill="1" applyBorder="1"/>
    <xf numFmtId="0" fontId="59" fillId="19" borderId="15" xfId="0" applyFont="1" applyFill="1" applyBorder="1" applyAlignment="1">
      <alignment wrapText="1"/>
    </xf>
    <xf numFmtId="0" fontId="56" fillId="19" borderId="15" xfId="0" applyFont="1" applyFill="1" applyBorder="1" applyAlignment="1">
      <alignment horizontal="center"/>
    </xf>
    <xf numFmtId="0" fontId="56" fillId="19" borderId="15" xfId="0" applyFont="1" applyFill="1" applyBorder="1" applyAlignment="1">
      <alignment horizontal="center" wrapText="1"/>
    </xf>
    <xf numFmtId="0" fontId="59" fillId="19" borderId="15" xfId="0" applyFont="1" applyFill="1" applyBorder="1" applyAlignment="1">
      <alignment horizontal="center"/>
    </xf>
    <xf numFmtId="0" fontId="59" fillId="19" borderId="15" xfId="0" applyFont="1" applyFill="1" applyBorder="1" applyAlignment="1">
      <alignment horizontal="center" wrapText="1"/>
    </xf>
    <xf numFmtId="0" fontId="64" fillId="0" borderId="20" xfId="0" applyFont="1" applyBorder="1" applyAlignment="1">
      <alignment wrapText="1"/>
    </xf>
    <xf numFmtId="0" fontId="3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1" fontId="5" fillId="0" borderId="0" xfId="0" applyNumberFormat="1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Border="1" applyAlignment="1">
      <alignment horizontal="center" vertical="center" wrapText="1"/>
    </xf>
    <xf numFmtId="3" fontId="5" fillId="0" borderId="0" xfId="0" applyNumberFormat="1" applyFont="1" applyBorder="1" applyAlignment="1">
      <alignment horizontal="center" vertical="center"/>
    </xf>
    <xf numFmtId="0" fontId="56" fillId="0" borderId="20" xfId="0" applyFont="1" applyBorder="1"/>
    <xf numFmtId="0" fontId="67" fillId="0" borderId="21" xfId="0" applyFont="1" applyBorder="1"/>
    <xf numFmtId="0" fontId="67" fillId="0" borderId="22" xfId="0" applyFont="1" applyBorder="1"/>
    <xf numFmtId="0" fontId="55" fillId="0" borderId="15" xfId="0" applyFont="1" applyBorder="1" applyAlignment="1">
      <alignment wrapText="1"/>
    </xf>
    <xf numFmtId="49" fontId="68" fillId="0" borderId="0" xfId="1" applyNumberFormat="1" applyFont="1"/>
    <xf numFmtId="0" fontId="55" fillId="0" borderId="15" xfId="0" applyFont="1" applyBorder="1" applyAlignment="1">
      <alignment horizontal="center"/>
    </xf>
    <xf numFmtId="0" fontId="55" fillId="3" borderId="15" xfId="0" applyFont="1" applyFill="1" applyBorder="1" applyAlignment="1">
      <alignment horizontal="center"/>
    </xf>
    <xf numFmtId="0" fontId="55" fillId="0" borderId="17" xfId="0" applyFont="1" applyBorder="1"/>
    <xf numFmtId="0" fontId="11" fillId="0" borderId="16" xfId="0" applyFont="1" applyBorder="1" applyAlignment="1">
      <alignment horizontal="center"/>
    </xf>
    <xf numFmtId="0" fontId="59" fillId="0" borderId="20" xfId="0" applyFont="1" applyBorder="1" applyAlignment="1">
      <alignment wrapText="1"/>
    </xf>
    <xf numFmtId="0" fontId="69" fillId="0" borderId="0" xfId="0" applyFont="1"/>
    <xf numFmtId="0" fontId="69" fillId="0" borderId="0" xfId="0" applyFont="1" applyAlignment="1">
      <alignment horizontal="left"/>
    </xf>
    <xf numFmtId="0" fontId="70" fillId="0" borderId="15" xfId="0" applyFont="1" applyBorder="1" applyAlignment="1">
      <alignment horizontal="center" wrapText="1"/>
    </xf>
    <xf numFmtId="0" fontId="56" fillId="7" borderId="15" xfId="0" applyFont="1" applyFill="1" applyBorder="1" applyAlignment="1">
      <alignment horizontal="center" wrapText="1"/>
    </xf>
    <xf numFmtId="0" fontId="56" fillId="0" borderId="15" xfId="0" applyFont="1" applyFill="1" applyBorder="1"/>
    <xf numFmtId="0" fontId="59" fillId="0" borderId="15" xfId="0" applyFont="1" applyFill="1" applyBorder="1"/>
    <xf numFmtId="0" fontId="59" fillId="0" borderId="15" xfId="0" applyFont="1" applyFill="1" applyBorder="1" applyAlignment="1">
      <alignment wrapText="1"/>
    </xf>
    <xf numFmtId="0" fontId="59" fillId="0" borderId="15" xfId="0" applyFont="1" applyFill="1" applyBorder="1" applyAlignment="1">
      <alignment horizontal="center"/>
    </xf>
    <xf numFmtId="0" fontId="59" fillId="0" borderId="15" xfId="0" applyFont="1" applyFill="1" applyBorder="1" applyAlignment="1">
      <alignment horizontal="center" wrapText="1"/>
    </xf>
    <xf numFmtId="0" fontId="64" fillId="0" borderId="20" xfId="0" applyFont="1" applyFill="1" applyBorder="1" applyAlignment="1"/>
    <xf numFmtId="0" fontId="56" fillId="0" borderId="21" xfId="0" applyFont="1" applyFill="1" applyBorder="1" applyAlignment="1">
      <alignment wrapText="1"/>
    </xf>
    <xf numFmtId="0" fontId="56" fillId="0" borderId="22" xfId="0" applyFont="1" applyFill="1" applyBorder="1" applyAlignment="1">
      <alignment wrapText="1"/>
    </xf>
    <xf numFmtId="0" fontId="56" fillId="0" borderId="20" xfId="0" applyFont="1" applyBorder="1" applyAlignment="1"/>
    <xf numFmtId="0" fontId="61" fillId="0" borderId="20" xfId="0" applyFont="1" applyBorder="1" applyAlignment="1"/>
    <xf numFmtId="0" fontId="56" fillId="20" borderId="15" xfId="0" applyFont="1" applyFill="1" applyBorder="1" applyAlignment="1">
      <alignment horizontal="center"/>
    </xf>
    <xf numFmtId="49" fontId="26" fillId="0" borderId="12" xfId="1" applyNumberFormat="1" applyFont="1" applyBorder="1" applyAlignment="1">
      <alignment horizontal="center"/>
    </xf>
    <xf numFmtId="0" fontId="26" fillId="2" borderId="12" xfId="1" applyFont="1" applyFill="1" applyBorder="1" applyAlignment="1">
      <alignment horizontal="center"/>
    </xf>
    <xf numFmtId="0" fontId="26" fillId="2" borderId="2" xfId="1" applyFont="1" applyFill="1" applyBorder="1" applyAlignment="1">
      <alignment horizontal="center"/>
    </xf>
    <xf numFmtId="0" fontId="26" fillId="2" borderId="12" xfId="1" applyNumberFormat="1" applyFont="1" applyFill="1" applyBorder="1" applyAlignment="1">
      <alignment horizontal="center"/>
    </xf>
    <xf numFmtId="0" fontId="26" fillId="2" borderId="2" xfId="1" applyNumberFormat="1" applyFont="1" applyFill="1" applyBorder="1" applyAlignment="1">
      <alignment horizontal="center"/>
    </xf>
    <xf numFmtId="0" fontId="73" fillId="0" borderId="20" xfId="0" applyFont="1" applyBorder="1" applyAlignment="1"/>
    <xf numFmtId="0" fontId="64" fillId="9" borderId="20" xfId="0" applyFont="1" applyFill="1" applyBorder="1"/>
    <xf numFmtId="0" fontId="64" fillId="0" borderId="20" xfId="0" applyFont="1" applyBorder="1"/>
    <xf numFmtId="0" fontId="56" fillId="9" borderId="15" xfId="0" applyFont="1" applyFill="1" applyBorder="1"/>
    <xf numFmtId="0" fontId="59" fillId="9" borderId="15" xfId="0" applyFont="1" applyFill="1" applyBorder="1"/>
    <xf numFmtId="0" fontId="59" fillId="9" borderId="15" xfId="0" applyFont="1" applyFill="1" applyBorder="1" applyAlignment="1">
      <alignment wrapText="1"/>
    </xf>
    <xf numFmtId="0" fontId="59" fillId="9" borderId="15" xfId="0" applyFont="1" applyFill="1" applyBorder="1" applyAlignment="1">
      <alignment horizontal="center"/>
    </xf>
    <xf numFmtId="0" fontId="56" fillId="9" borderId="15" xfId="0" applyFont="1" applyFill="1" applyBorder="1" applyAlignment="1">
      <alignment horizontal="center"/>
    </xf>
    <xf numFmtId="0" fontId="59" fillId="9" borderId="15" xfId="0" applyFont="1" applyFill="1" applyBorder="1" applyAlignment="1">
      <alignment horizontal="center" wrapText="1"/>
    </xf>
    <xf numFmtId="0" fontId="56" fillId="9" borderId="21" xfId="0" applyFont="1" applyFill="1" applyBorder="1" applyAlignment="1">
      <alignment wrapText="1"/>
    </xf>
    <xf numFmtId="0" fontId="56" fillId="9" borderId="22" xfId="0" applyFont="1" applyFill="1" applyBorder="1" applyAlignment="1">
      <alignment wrapText="1"/>
    </xf>
    <xf numFmtId="49" fontId="23" fillId="0" borderId="10" xfId="1" applyNumberFormat="1" applyFont="1" applyBorder="1" applyAlignment="1">
      <alignment horizontal="center" vertical="center" wrapText="1"/>
    </xf>
    <xf numFmtId="49" fontId="23" fillId="0" borderId="9" xfId="1" applyNumberFormat="1" applyFont="1" applyBorder="1" applyAlignment="1">
      <alignment horizontal="center" vertical="center" wrapText="1"/>
    </xf>
    <xf numFmtId="49" fontId="23" fillId="0" borderId="7" xfId="1" applyNumberFormat="1" applyFont="1" applyBorder="1" applyAlignment="1">
      <alignment horizontal="center" vertical="center" wrapText="1"/>
    </xf>
    <xf numFmtId="49" fontId="23" fillId="0" borderId="19" xfId="1" applyNumberFormat="1" applyFont="1" applyBorder="1" applyAlignment="1">
      <alignment horizontal="center" vertical="center" wrapText="1"/>
    </xf>
    <xf numFmtId="49" fontId="23" fillId="0" borderId="4" xfId="1" applyNumberFormat="1" applyFont="1" applyBorder="1" applyAlignment="1">
      <alignment horizontal="center" vertical="center" wrapText="1"/>
    </xf>
    <xf numFmtId="49" fontId="23" fillId="0" borderId="8" xfId="1" applyNumberFormat="1" applyFont="1" applyBorder="1" applyAlignment="1">
      <alignment horizontal="center" vertical="center" wrapText="1"/>
    </xf>
    <xf numFmtId="49" fontId="23" fillId="0" borderId="1" xfId="1" applyNumberFormat="1" applyFont="1" applyBorder="1" applyAlignment="1">
      <alignment horizontal="center" vertical="center" wrapText="1"/>
    </xf>
    <xf numFmtId="49" fontId="23" fillId="0" borderId="3" xfId="1" applyNumberFormat="1" applyFont="1" applyBorder="1" applyAlignment="1">
      <alignment horizontal="center" vertical="center" wrapText="1"/>
    </xf>
    <xf numFmtId="49" fontId="18" fillId="0" borderId="7" xfId="1" applyNumberFormat="1" applyFont="1" applyBorder="1" applyAlignment="1">
      <alignment horizontal="left" vertical="top" wrapText="1"/>
    </xf>
    <xf numFmtId="49" fontId="18" fillId="0" borderId="19" xfId="1" applyNumberFormat="1" applyFont="1" applyBorder="1" applyAlignment="1">
      <alignment horizontal="left" vertical="top" wrapText="1"/>
    </xf>
    <xf numFmtId="49" fontId="18" fillId="0" borderId="8" xfId="1" applyNumberFormat="1" applyFont="1" applyBorder="1" applyAlignment="1">
      <alignment horizontal="left" vertical="top" wrapText="1"/>
    </xf>
    <xf numFmtId="49" fontId="18" fillId="0" borderId="1" xfId="1" applyNumberFormat="1" applyFont="1" applyBorder="1" applyAlignment="1">
      <alignment horizontal="left" vertical="top" wrapText="1"/>
    </xf>
    <xf numFmtId="0" fontId="35" fillId="0" borderId="19" xfId="1" applyNumberFormat="1" applyFont="1" applyBorder="1" applyAlignment="1">
      <alignment horizontal="left" vertical="top"/>
    </xf>
    <xf numFmtId="0" fontId="35" fillId="0" borderId="4" xfId="1" applyNumberFormat="1" applyFont="1" applyBorder="1" applyAlignment="1">
      <alignment horizontal="left" vertical="top"/>
    </xf>
    <xf numFmtId="49" fontId="24" fillId="0" borderId="0" xfId="1" applyNumberFormat="1" applyFont="1" applyBorder="1" applyAlignment="1">
      <alignment horizontal="left" vertical="top" wrapText="1"/>
    </xf>
    <xf numFmtId="49" fontId="24" fillId="0" borderId="5" xfId="1" applyNumberFormat="1" applyFont="1" applyBorder="1" applyAlignment="1">
      <alignment horizontal="left" vertical="top" wrapText="1"/>
    </xf>
    <xf numFmtId="49" fontId="26" fillId="0" borderId="0" xfId="1" applyNumberFormat="1" applyFont="1" applyBorder="1" applyAlignment="1">
      <alignment horizontal="left"/>
    </xf>
    <xf numFmtId="49" fontId="26" fillId="2" borderId="12" xfId="1" applyNumberFormat="1" applyFont="1" applyFill="1" applyBorder="1" applyAlignment="1">
      <alignment horizontal="left"/>
    </xf>
    <xf numFmtId="49" fontId="26" fillId="2" borderId="13" xfId="1" applyNumberFormat="1" applyFont="1" applyFill="1" applyBorder="1" applyAlignment="1">
      <alignment horizontal="left"/>
    </xf>
    <xf numFmtId="49" fontId="26" fillId="0" borderId="12" xfId="1" applyNumberFormat="1" applyFont="1" applyFill="1" applyBorder="1" applyAlignment="1">
      <alignment horizontal="left"/>
    </xf>
    <xf numFmtId="49" fontId="26" fillId="0" borderId="13" xfId="1" applyNumberFormat="1" applyFont="1" applyFill="1" applyBorder="1" applyAlignment="1">
      <alignment horizontal="left"/>
    </xf>
    <xf numFmtId="49" fontId="26" fillId="0" borderId="12" xfId="1" applyNumberFormat="1" applyFont="1" applyBorder="1" applyAlignment="1">
      <alignment horizontal="center" vertical="center" wrapText="1"/>
    </xf>
    <xf numFmtId="49" fontId="26" fillId="0" borderId="14" xfId="1" applyNumberFormat="1" applyFont="1" applyBorder="1" applyAlignment="1">
      <alignment horizontal="center" vertical="center" wrapText="1"/>
    </xf>
    <xf numFmtId="49" fontId="26" fillId="0" borderId="13" xfId="1" applyNumberFormat="1" applyFont="1" applyBorder="1" applyAlignment="1">
      <alignment horizontal="center" vertical="center" wrapText="1"/>
    </xf>
    <xf numFmtId="49" fontId="26" fillId="0" borderId="0" xfId="1" applyNumberFormat="1" applyFont="1" applyBorder="1" applyAlignment="1">
      <alignment horizontal="center"/>
    </xf>
    <xf numFmtId="49" fontId="26" fillId="0" borderId="5" xfId="1" applyNumberFormat="1" applyFont="1" applyBorder="1" applyAlignment="1">
      <alignment horizontal="center"/>
    </xf>
    <xf numFmtId="49" fontId="18" fillId="0" borderId="0" xfId="1" applyNumberFormat="1" applyFont="1" applyBorder="1"/>
    <xf numFmtId="49" fontId="24" fillId="0" borderId="0" xfId="1" applyNumberFormat="1" applyFont="1" applyBorder="1" applyAlignment="1">
      <alignment horizontal="left"/>
    </xf>
    <xf numFmtId="0" fontId="35" fillId="0" borderId="0" xfId="1" applyNumberFormat="1" applyFont="1" applyBorder="1" applyAlignment="1">
      <alignment horizontal="left"/>
    </xf>
    <xf numFmtId="49" fontId="17" fillId="0" borderId="0" xfId="1" applyNumberFormat="1" applyFont="1" applyBorder="1" applyAlignment="1">
      <alignment horizontal="center"/>
    </xf>
    <xf numFmtId="49" fontId="26" fillId="0" borderId="12" xfId="1" applyNumberFormat="1" applyFont="1" applyBorder="1" applyAlignment="1">
      <alignment horizontal="left"/>
    </xf>
    <xf numFmtId="49" fontId="26" fillId="0" borderId="13" xfId="1" applyNumberFormat="1" applyFont="1" applyBorder="1" applyAlignment="1">
      <alignment horizontal="left"/>
    </xf>
    <xf numFmtId="49" fontId="40" fillId="0" borderId="12" xfId="1" applyNumberFormat="1" applyFont="1" applyFill="1" applyBorder="1" applyAlignment="1">
      <alignment horizontal="left"/>
    </xf>
    <xf numFmtId="49" fontId="40" fillId="0" borderId="13" xfId="1" applyNumberFormat="1" applyFont="1" applyFill="1" applyBorder="1" applyAlignment="1">
      <alignment horizontal="left"/>
    </xf>
    <xf numFmtId="49" fontId="26" fillId="0" borderId="7" xfId="1" applyNumberFormat="1" applyFont="1" applyFill="1" applyBorder="1" applyAlignment="1">
      <alignment horizontal="center"/>
    </xf>
    <xf numFmtId="49" fontId="26" fillId="0" borderId="19" xfId="1" applyNumberFormat="1" applyFont="1" applyFill="1" applyBorder="1" applyAlignment="1">
      <alignment horizontal="center"/>
    </xf>
    <xf numFmtId="49" fontId="24" fillId="0" borderId="19" xfId="1" applyNumberFormat="1" applyFont="1" applyBorder="1" applyAlignment="1">
      <alignment horizontal="left" vertical="top" wrapText="1"/>
    </xf>
    <xf numFmtId="49" fontId="24" fillId="0" borderId="4" xfId="1" applyNumberFormat="1" applyFont="1" applyBorder="1" applyAlignment="1">
      <alignment horizontal="left" vertical="top" wrapText="1"/>
    </xf>
    <xf numFmtId="49" fontId="24" fillId="0" borderId="0" xfId="1" applyNumberFormat="1" applyFont="1" applyAlignment="1">
      <alignment horizontal="left"/>
    </xf>
    <xf numFmtId="49" fontId="35" fillId="0" borderId="0" xfId="1" applyNumberFormat="1" applyFont="1" applyBorder="1" applyAlignment="1">
      <alignment horizontal="center"/>
    </xf>
    <xf numFmtId="49" fontId="35" fillId="0" borderId="5" xfId="1" applyNumberFormat="1" applyFont="1" applyBorder="1" applyAlignment="1">
      <alignment horizontal="center"/>
    </xf>
    <xf numFmtId="49" fontId="17" fillId="0" borderId="0" xfId="1" applyNumberFormat="1" applyFont="1" applyBorder="1" applyAlignment="1">
      <alignment horizontal="left"/>
    </xf>
    <xf numFmtId="49" fontId="17" fillId="0" borderId="0" xfId="1" applyNumberFormat="1" applyFont="1" applyBorder="1" applyAlignment="1">
      <alignment horizontal="right" vertical="top"/>
    </xf>
    <xf numFmtId="49" fontId="26" fillId="5" borderId="0" xfId="1" applyNumberFormat="1" applyFont="1" applyFill="1" applyBorder="1" applyAlignment="1">
      <alignment horizontal="left"/>
    </xf>
    <xf numFmtId="0" fontId="35" fillId="0" borderId="0" xfId="1" applyNumberFormat="1" applyFont="1" applyBorder="1" applyAlignment="1">
      <alignment horizontal="left" vertical="top"/>
    </xf>
    <xf numFmtId="0" fontId="35" fillId="0" borderId="5" xfId="1" applyNumberFormat="1" applyFont="1" applyBorder="1" applyAlignment="1">
      <alignment horizontal="left" vertical="top"/>
    </xf>
    <xf numFmtId="49" fontId="24" fillId="0" borderId="12" xfId="1" applyNumberFormat="1" applyFont="1" applyBorder="1" applyAlignment="1">
      <alignment horizontal="left"/>
    </xf>
    <xf numFmtId="49" fontId="24" fillId="0" borderId="14" xfId="1" applyNumberFormat="1" applyFont="1" applyBorder="1" applyAlignment="1">
      <alignment horizontal="left"/>
    </xf>
    <xf numFmtId="49" fontId="24" fillId="0" borderId="13" xfId="1" applyNumberFormat="1" applyFont="1" applyBorder="1" applyAlignment="1">
      <alignment horizontal="left"/>
    </xf>
    <xf numFmtId="49" fontId="26" fillId="6" borderId="0" xfId="1" applyNumberFormat="1" applyFont="1" applyFill="1" applyBorder="1" applyAlignment="1">
      <alignment horizontal="center"/>
    </xf>
    <xf numFmtId="49" fontId="26" fillId="6" borderId="5" xfId="1" applyNumberFormat="1" applyFont="1" applyFill="1" applyBorder="1" applyAlignment="1">
      <alignment horizontal="center"/>
    </xf>
    <xf numFmtId="49" fontId="26" fillId="0" borderId="7" xfId="1" applyNumberFormat="1" applyFont="1" applyBorder="1" applyAlignment="1">
      <alignment vertical="center"/>
    </xf>
    <xf numFmtId="49" fontId="26" fillId="0" borderId="19" xfId="1" applyNumberFormat="1" applyFont="1" applyBorder="1" applyAlignment="1">
      <alignment vertical="center"/>
    </xf>
    <xf numFmtId="49" fontId="26" fillId="0" borderId="19" xfId="1" applyNumberFormat="1" applyFont="1" applyBorder="1" applyAlignment="1">
      <alignment horizontal="center"/>
    </xf>
    <xf numFmtId="49" fontId="24" fillId="0" borderId="6" xfId="1" applyNumberFormat="1" applyFont="1" applyBorder="1" applyAlignment="1">
      <alignment horizontal="center"/>
    </xf>
    <xf numFmtId="49" fontId="24" fillId="0" borderId="0" xfId="1" applyNumberFormat="1" applyFont="1" applyBorder="1" applyAlignment="1">
      <alignment horizontal="center"/>
    </xf>
    <xf numFmtId="49" fontId="26" fillId="0" borderId="6" xfId="1" applyNumberFormat="1" applyFont="1" applyBorder="1" applyAlignment="1">
      <alignment horizontal="left"/>
    </xf>
    <xf numFmtId="49" fontId="34" fillId="0" borderId="12" xfId="1" applyNumberFormat="1" applyFont="1" applyBorder="1" applyAlignment="1">
      <alignment horizontal="center" vertical="center" wrapText="1"/>
    </xf>
    <xf numFmtId="49" fontId="34" fillId="0" borderId="13" xfId="1" applyNumberFormat="1" applyFont="1" applyBorder="1" applyAlignment="1">
      <alignment horizontal="center" vertical="center" wrapText="1"/>
    </xf>
    <xf numFmtId="49" fontId="18" fillId="0" borderId="12" xfId="1" applyNumberFormat="1" applyFont="1" applyFill="1" applyBorder="1" applyAlignment="1">
      <alignment horizontal="left"/>
    </xf>
    <xf numFmtId="49" fontId="18" fillId="0" borderId="13" xfId="1" applyNumberFormat="1" applyFont="1" applyFill="1" applyBorder="1" applyAlignment="1">
      <alignment horizontal="left"/>
    </xf>
    <xf numFmtId="49" fontId="26" fillId="0" borderId="1" xfId="1" applyNumberFormat="1" applyFont="1" applyBorder="1" applyAlignment="1">
      <alignment horizontal="center"/>
    </xf>
    <xf numFmtId="49" fontId="26" fillId="0" borderId="3" xfId="1" applyNumberFormat="1" applyFont="1" applyBorder="1" applyAlignment="1">
      <alignment horizontal="center"/>
    </xf>
    <xf numFmtId="49" fontId="26" fillId="0" borderId="8" xfId="1" applyNumberFormat="1" applyFont="1" applyBorder="1" applyAlignment="1">
      <alignment vertical="center"/>
    </xf>
    <xf numFmtId="49" fontId="26" fillId="0" borderId="1" xfId="1" applyNumberFormat="1" applyFont="1" applyBorder="1" applyAlignment="1">
      <alignment vertical="center"/>
    </xf>
    <xf numFmtId="49" fontId="24" fillId="0" borderId="8" xfId="1" applyNumberFormat="1" applyFont="1" applyBorder="1" applyAlignment="1">
      <alignment horizontal="center" vertical="center"/>
    </xf>
    <xf numFmtId="49" fontId="24" fillId="0" borderId="1" xfId="1" applyNumberFormat="1" applyFont="1" applyBorder="1" applyAlignment="1">
      <alignment horizontal="center" vertical="center"/>
    </xf>
    <xf numFmtId="49" fontId="26" fillId="2" borderId="0" xfId="1" applyNumberFormat="1" applyFont="1" applyFill="1" applyBorder="1" applyAlignment="1">
      <alignment horizontal="center"/>
    </xf>
    <xf numFmtId="49" fontId="26" fillId="2" borderId="5" xfId="1" applyNumberFormat="1" applyFont="1" applyFill="1" applyBorder="1" applyAlignment="1">
      <alignment horizontal="center"/>
    </xf>
    <xf numFmtId="49" fontId="40" fillId="0" borderId="0" xfId="1" applyNumberFormat="1" applyFont="1" applyBorder="1" applyAlignment="1">
      <alignment horizontal="center"/>
    </xf>
    <xf numFmtId="49" fontId="40" fillId="0" borderId="5" xfId="1" applyNumberFormat="1" applyFont="1" applyBorder="1" applyAlignment="1">
      <alignment horizontal="center"/>
    </xf>
    <xf numFmtId="49" fontId="24" fillId="0" borderId="1" xfId="1" applyNumberFormat="1" applyFont="1" applyBorder="1" applyAlignment="1">
      <alignment horizontal="left" vertical="top" wrapText="1"/>
    </xf>
    <xf numFmtId="49" fontId="24" fillId="0" borderId="3" xfId="1" applyNumberFormat="1" applyFont="1" applyBorder="1" applyAlignment="1">
      <alignment horizontal="left" vertical="top" wrapText="1"/>
    </xf>
    <xf numFmtId="49" fontId="40" fillId="0" borderId="12" xfId="1" applyNumberFormat="1" applyFont="1" applyBorder="1" applyAlignment="1">
      <alignment horizontal="left"/>
    </xf>
    <xf numFmtId="49" fontId="40" fillId="0" borderId="13" xfId="1" applyNumberFormat="1" applyFont="1" applyBorder="1" applyAlignment="1">
      <alignment horizontal="left"/>
    </xf>
    <xf numFmtId="49" fontId="40" fillId="8" borderId="0" xfId="1" applyNumberFormat="1" applyFont="1" applyFill="1" applyBorder="1" applyAlignment="1">
      <alignment horizontal="center"/>
    </xf>
    <xf numFmtId="49" fontId="40" fillId="8" borderId="5" xfId="1" applyNumberFormat="1" applyFont="1" applyFill="1" applyBorder="1" applyAlignment="1">
      <alignment horizontal="center"/>
    </xf>
    <xf numFmtId="2" fontId="25" fillId="0" borderId="12" xfId="1" applyNumberFormat="1" applyFont="1" applyBorder="1" applyAlignment="1">
      <alignment horizontal="center"/>
    </xf>
    <xf numFmtId="2" fontId="25" fillId="0" borderId="13" xfId="1" applyNumberFormat="1" applyFont="1" applyBorder="1" applyAlignment="1">
      <alignment horizontal="center"/>
    </xf>
    <xf numFmtId="2" fontId="50" fillId="14" borderId="24" xfId="8" applyNumberFormat="1" applyAlignment="1">
      <alignment horizontal="left"/>
    </xf>
    <xf numFmtId="2" fontId="25" fillId="0" borderId="2" xfId="1" applyNumberFormat="1" applyFont="1" applyBorder="1" applyAlignment="1">
      <alignment horizontal="center"/>
    </xf>
    <xf numFmtId="2" fontId="25" fillId="0" borderId="2" xfId="1" applyNumberFormat="1" applyFont="1" applyBorder="1" applyAlignment="1">
      <alignment horizontal="left"/>
    </xf>
    <xf numFmtId="49" fontId="26" fillId="7" borderId="0" xfId="1" applyNumberFormat="1" applyFont="1" applyFill="1" applyBorder="1" applyAlignment="1">
      <alignment horizontal="center"/>
    </xf>
    <xf numFmtId="49" fontId="26" fillId="7" borderId="5" xfId="1" applyNumberFormat="1" applyFont="1" applyFill="1" applyBorder="1" applyAlignment="1">
      <alignment horizontal="center"/>
    </xf>
    <xf numFmtId="0" fontId="30" fillId="0" borderId="19" xfId="0" applyFont="1" applyBorder="1" applyAlignment="1">
      <alignment horizontal="center" wrapText="1"/>
    </xf>
    <xf numFmtId="0" fontId="30" fillId="0" borderId="4" xfId="0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2" fontId="18" fillId="0" borderId="10" xfId="0" applyNumberFormat="1" applyFont="1" applyBorder="1" applyAlignment="1">
      <alignment horizontal="center" wrapText="1"/>
    </xf>
    <xf numFmtId="2" fontId="18" fillId="0" borderId="9" xfId="0" applyNumberFormat="1" applyFont="1" applyBorder="1" applyAlignment="1">
      <alignment horizontal="center"/>
    </xf>
    <xf numFmtId="0" fontId="9" fillId="0" borderId="7" xfId="2" applyFont="1" applyBorder="1" applyAlignment="1">
      <alignment horizontal="center" wrapText="1"/>
    </xf>
    <xf numFmtId="0" fontId="9" fillId="0" borderId="4" xfId="2" applyFont="1" applyBorder="1" applyAlignment="1">
      <alignment horizontal="center" wrapText="1"/>
    </xf>
    <xf numFmtId="0" fontId="9" fillId="0" borderId="8" xfId="2" applyFont="1" applyBorder="1" applyAlignment="1">
      <alignment horizontal="center" wrapText="1"/>
    </xf>
    <xf numFmtId="0" fontId="9" fillId="0" borderId="3" xfId="2" applyFont="1" applyBorder="1" applyAlignment="1">
      <alignment horizontal="center" wrapText="1"/>
    </xf>
    <xf numFmtId="0" fontId="1" fillId="0" borderId="7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49" fontId="1" fillId="0" borderId="5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49" fontId="2" fillId="0" borderId="12" xfId="0" applyNumberFormat="1" applyFont="1" applyBorder="1" applyAlignment="1">
      <alignment horizontal="center" wrapText="1"/>
    </xf>
    <xf numFmtId="49" fontId="2" fillId="0" borderId="13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14" fontId="4" fillId="0" borderId="4" xfId="0" applyNumberFormat="1" applyFont="1" applyBorder="1" applyAlignment="1">
      <alignment vertical="center"/>
    </xf>
    <xf numFmtId="14" fontId="4" fillId="0" borderId="3" xfId="0" applyNumberFormat="1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9" fillId="0" borderId="7" xfId="2" applyFont="1" applyBorder="1" applyAlignment="1">
      <alignment horizontal="right" vertical="center" wrapText="1"/>
    </xf>
    <xf numFmtId="0" fontId="9" fillId="0" borderId="4" xfId="2" applyFont="1" applyBorder="1" applyAlignment="1">
      <alignment horizontal="right" vertical="center" wrapText="1"/>
    </xf>
    <xf numFmtId="0" fontId="9" fillId="0" borderId="8" xfId="2" applyFont="1" applyBorder="1" applyAlignment="1">
      <alignment horizontal="right" vertical="center" wrapText="1"/>
    </xf>
    <xf numFmtId="0" fontId="9" fillId="0" borderId="3" xfId="2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49" fontId="2" fillId="0" borderId="12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/>
    </xf>
    <xf numFmtId="0" fontId="64" fillId="19" borderId="20" xfId="0" applyFont="1" applyFill="1" applyBorder="1" applyAlignment="1">
      <alignment horizontal="center" wrapText="1"/>
    </xf>
    <xf numFmtId="0" fontId="64" fillId="19" borderId="21" xfId="0" applyFont="1" applyFill="1" applyBorder="1" applyAlignment="1">
      <alignment horizontal="center" wrapText="1"/>
    </xf>
    <xf numFmtId="0" fontId="64" fillId="19" borderId="2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2" fillId="0" borderId="13" xfId="0" applyNumberFormat="1" applyFont="1" applyBorder="1" applyAlignment="1">
      <alignment horizontal="center"/>
    </xf>
  </cellXfs>
  <cellStyles count="9">
    <cellStyle name="Bad" xfId="6" builtinId="27"/>
    <cellStyle name="Calculation" xfId="8" builtinId="22"/>
    <cellStyle name="Good" xfId="5" builtinId="26"/>
    <cellStyle name="Neutral" xfId="7" builtinId="28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3">
    <dxf>
      <fill>
        <patternFill>
          <bgColor rgb="FFFF0000"/>
        </patternFill>
      </fill>
    </dxf>
    <dxf>
      <numFmt numFmtId="0" formatCode="General"/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1</xdr:col>
          <xdr:colOff>304800</xdr:colOff>
          <xdr:row>11</xdr:row>
          <xdr:rowOff>57150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19050</xdr:rowOff>
        </xdr:from>
        <xdr:to>
          <xdr:col>1</xdr:col>
          <xdr:colOff>304800</xdr:colOff>
          <xdr:row>15</xdr:row>
          <xdr:rowOff>38100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0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19050</xdr:rowOff>
        </xdr:from>
        <xdr:to>
          <xdr:col>1</xdr:col>
          <xdr:colOff>304800</xdr:colOff>
          <xdr:row>17</xdr:row>
          <xdr:rowOff>28575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0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19050</xdr:rowOff>
        </xdr:from>
        <xdr:to>
          <xdr:col>1</xdr:col>
          <xdr:colOff>304800</xdr:colOff>
          <xdr:row>14</xdr:row>
          <xdr:rowOff>28575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0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19050</xdr:rowOff>
        </xdr:from>
        <xdr:to>
          <xdr:col>1</xdr:col>
          <xdr:colOff>304800</xdr:colOff>
          <xdr:row>13</xdr:row>
          <xdr:rowOff>28575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0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19050</xdr:rowOff>
        </xdr:from>
        <xdr:to>
          <xdr:col>1</xdr:col>
          <xdr:colOff>304800</xdr:colOff>
          <xdr:row>16</xdr:row>
          <xdr:rowOff>28575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0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1</xdr:col>
          <xdr:colOff>304800</xdr:colOff>
          <xdr:row>11</xdr:row>
          <xdr:rowOff>57150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0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19050</xdr:rowOff>
        </xdr:from>
        <xdr:to>
          <xdr:col>1</xdr:col>
          <xdr:colOff>304800</xdr:colOff>
          <xdr:row>15</xdr:row>
          <xdr:rowOff>38100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0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19050</xdr:rowOff>
        </xdr:from>
        <xdr:to>
          <xdr:col>1</xdr:col>
          <xdr:colOff>304800</xdr:colOff>
          <xdr:row>17</xdr:row>
          <xdr:rowOff>28575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0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19050</xdr:rowOff>
        </xdr:from>
        <xdr:to>
          <xdr:col>1</xdr:col>
          <xdr:colOff>304800</xdr:colOff>
          <xdr:row>14</xdr:row>
          <xdr:rowOff>28575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0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19050</xdr:rowOff>
        </xdr:from>
        <xdr:to>
          <xdr:col>1</xdr:col>
          <xdr:colOff>304800</xdr:colOff>
          <xdr:row>13</xdr:row>
          <xdr:rowOff>28575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0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19050</xdr:rowOff>
        </xdr:from>
        <xdr:to>
          <xdr:col>1</xdr:col>
          <xdr:colOff>304800</xdr:colOff>
          <xdr:row>16</xdr:row>
          <xdr:rowOff>28575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0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1</xdr:col>
          <xdr:colOff>304800</xdr:colOff>
          <xdr:row>11</xdr:row>
          <xdr:rowOff>57150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0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19050</xdr:rowOff>
        </xdr:from>
        <xdr:to>
          <xdr:col>1</xdr:col>
          <xdr:colOff>304800</xdr:colOff>
          <xdr:row>15</xdr:row>
          <xdr:rowOff>38100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0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19050</xdr:rowOff>
        </xdr:from>
        <xdr:to>
          <xdr:col>1</xdr:col>
          <xdr:colOff>304800</xdr:colOff>
          <xdr:row>17</xdr:row>
          <xdr:rowOff>28575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0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19050</xdr:rowOff>
        </xdr:from>
        <xdr:to>
          <xdr:col>1</xdr:col>
          <xdr:colOff>304800</xdr:colOff>
          <xdr:row>14</xdr:row>
          <xdr:rowOff>28575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0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19050</xdr:rowOff>
        </xdr:from>
        <xdr:to>
          <xdr:col>1</xdr:col>
          <xdr:colOff>304800</xdr:colOff>
          <xdr:row>13</xdr:row>
          <xdr:rowOff>28575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0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19050</xdr:rowOff>
        </xdr:from>
        <xdr:to>
          <xdr:col>1</xdr:col>
          <xdr:colOff>304800</xdr:colOff>
          <xdr:row>16</xdr:row>
          <xdr:rowOff>28575</xdr:rowOff>
        </xdr:to>
        <xdr:sp macro="" textlink="">
          <xdr:nvSpPr>
            <xdr:cNvPr id="7186" name="Check Box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0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1</xdr:col>
          <xdr:colOff>304800</xdr:colOff>
          <xdr:row>11</xdr:row>
          <xdr:rowOff>57150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0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19050</xdr:rowOff>
        </xdr:from>
        <xdr:to>
          <xdr:col>1</xdr:col>
          <xdr:colOff>304800</xdr:colOff>
          <xdr:row>15</xdr:row>
          <xdr:rowOff>38100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0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19050</xdr:rowOff>
        </xdr:from>
        <xdr:to>
          <xdr:col>1</xdr:col>
          <xdr:colOff>304800</xdr:colOff>
          <xdr:row>17</xdr:row>
          <xdr:rowOff>28575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0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19050</xdr:rowOff>
        </xdr:from>
        <xdr:to>
          <xdr:col>1</xdr:col>
          <xdr:colOff>304800</xdr:colOff>
          <xdr:row>14</xdr:row>
          <xdr:rowOff>28575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0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19050</xdr:rowOff>
        </xdr:from>
        <xdr:to>
          <xdr:col>1</xdr:col>
          <xdr:colOff>304800</xdr:colOff>
          <xdr:row>13</xdr:row>
          <xdr:rowOff>28575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0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19050</xdr:rowOff>
        </xdr:from>
        <xdr:to>
          <xdr:col>1</xdr:col>
          <xdr:colOff>304800</xdr:colOff>
          <xdr:row>16</xdr:row>
          <xdr:rowOff>28575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0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49</xdr:row>
          <xdr:rowOff>0</xdr:rowOff>
        </xdr:from>
        <xdr:to>
          <xdr:col>1</xdr:col>
          <xdr:colOff>457200</xdr:colOff>
          <xdr:row>49</xdr:row>
          <xdr:rowOff>219075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0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50</xdr:row>
          <xdr:rowOff>19050</xdr:rowOff>
        </xdr:from>
        <xdr:to>
          <xdr:col>1</xdr:col>
          <xdr:colOff>457200</xdr:colOff>
          <xdr:row>50</xdr:row>
          <xdr:rowOff>238125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0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51</xdr:row>
          <xdr:rowOff>0</xdr:rowOff>
        </xdr:from>
        <xdr:to>
          <xdr:col>1</xdr:col>
          <xdr:colOff>457200</xdr:colOff>
          <xdr:row>51</xdr:row>
          <xdr:rowOff>219075</xdr:rowOff>
        </xdr:to>
        <xdr:sp macro="" textlink="">
          <xdr:nvSpPr>
            <xdr:cNvPr id="7195" name="Check Box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0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514350</xdr:colOff>
      <xdr:row>0</xdr:row>
      <xdr:rowOff>9524</xdr:rowOff>
    </xdr:from>
    <xdr:to>
      <xdr:col>10</xdr:col>
      <xdr:colOff>1126350</xdr:colOff>
      <xdr:row>1</xdr:row>
      <xdr:rowOff>307199</xdr:rowOff>
    </xdr:to>
    <xdr:pic>
      <xdr:nvPicPr>
        <xdr:cNvPr id="36" name="Picture 2" descr="image00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524"/>
          <a:ext cx="612000" cy="65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</xdr:colOff>
      <xdr:row>0</xdr:row>
      <xdr:rowOff>57150</xdr:rowOff>
    </xdr:from>
    <xdr:to>
      <xdr:col>11</xdr:col>
      <xdr:colOff>579456</xdr:colOff>
      <xdr:row>1</xdr:row>
      <xdr:rowOff>148926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06" t="15742" r="14706" b="15875"/>
        <a:stretch>
          <a:fillRect/>
        </a:stretch>
      </xdr:blipFill>
      <xdr:spPr bwMode="auto">
        <a:xfrm>
          <a:off x="7934325" y="57150"/>
          <a:ext cx="564216" cy="5546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66675</xdr:colOff>
      <xdr:row>0</xdr:row>
      <xdr:rowOff>38100</xdr:rowOff>
    </xdr:from>
    <xdr:to>
      <xdr:col>16</xdr:col>
      <xdr:colOff>1010295</xdr:colOff>
      <xdr:row>3</xdr:row>
      <xdr:rowOff>95250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0F4B6D8-03CA-4D7C-B6B7-38DC812ED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06" t="14706" r="14706" b="14706"/>
        <a:stretch>
          <a:fillRect/>
        </a:stretch>
      </xdr:blipFill>
      <xdr:spPr bwMode="auto">
        <a:xfrm>
          <a:off x="14697075" y="38100"/>
          <a:ext cx="928380" cy="937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142875</xdr:colOff>
      <xdr:row>91</xdr:row>
      <xdr:rowOff>38100</xdr:rowOff>
    </xdr:from>
    <xdr:to>
      <xdr:col>15</xdr:col>
      <xdr:colOff>733425</xdr:colOff>
      <xdr:row>91</xdr:row>
      <xdr:rowOff>573857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5B2056-1BBD-3E69-03FD-67D21458B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0" y="45624750"/>
          <a:ext cx="590550" cy="535757"/>
        </a:xfrm>
        <a:prstGeom prst="rect">
          <a:avLst/>
        </a:prstGeom>
      </xdr:spPr>
    </xdr:pic>
    <xdr:clientData/>
  </xdr:twoCellAnchor>
  <xdr:twoCellAnchor editAs="oneCell">
    <xdr:from>
      <xdr:col>15</xdr:col>
      <xdr:colOff>276225</xdr:colOff>
      <xdr:row>0</xdr:row>
      <xdr:rowOff>9525</xdr:rowOff>
    </xdr:from>
    <xdr:to>
      <xdr:col>15</xdr:col>
      <xdr:colOff>1209805</xdr:colOff>
      <xdr:row>3</xdr:row>
      <xdr:rowOff>133492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CE8610-7534-F9CC-44CC-DCC263065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16100" y="9525"/>
          <a:ext cx="933580" cy="10193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276225</xdr:colOff>
      <xdr:row>0</xdr:row>
      <xdr:rowOff>9525</xdr:rowOff>
    </xdr:from>
    <xdr:to>
      <xdr:col>15</xdr:col>
      <xdr:colOff>1209805</xdr:colOff>
      <xdr:row>3</xdr:row>
      <xdr:rowOff>133492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442315-E82E-44F5-B154-8A76679A1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6100" y="9525"/>
          <a:ext cx="933580" cy="10193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276225</xdr:colOff>
      <xdr:row>0</xdr:row>
      <xdr:rowOff>9525</xdr:rowOff>
    </xdr:from>
    <xdr:to>
      <xdr:col>15</xdr:col>
      <xdr:colOff>1209805</xdr:colOff>
      <xdr:row>3</xdr:row>
      <xdr:rowOff>133492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7707A9-4ED2-4342-94A1-DA3FD9C86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6100" y="9525"/>
          <a:ext cx="933580" cy="10193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276225</xdr:colOff>
      <xdr:row>0</xdr:row>
      <xdr:rowOff>9525</xdr:rowOff>
    </xdr:from>
    <xdr:to>
      <xdr:col>15</xdr:col>
      <xdr:colOff>1209805</xdr:colOff>
      <xdr:row>3</xdr:row>
      <xdr:rowOff>133492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96F6E3-43A2-4757-9633-891660D37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6100" y="9525"/>
          <a:ext cx="933580" cy="101931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66675</xdr:colOff>
      <xdr:row>0</xdr:row>
      <xdr:rowOff>38100</xdr:rowOff>
    </xdr:from>
    <xdr:to>
      <xdr:col>16</xdr:col>
      <xdr:colOff>1010295</xdr:colOff>
      <xdr:row>3</xdr:row>
      <xdr:rowOff>95250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176391D-D23F-474F-B71A-20F754DC4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06" t="14706" r="14706" b="14706"/>
        <a:stretch>
          <a:fillRect/>
        </a:stretch>
      </xdr:blipFill>
      <xdr:spPr bwMode="auto">
        <a:xfrm>
          <a:off x="14887575" y="38100"/>
          <a:ext cx="94362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WP57"/>
  <sheetViews>
    <sheetView topLeftCell="A23" zoomScaleNormal="100" workbookViewId="0">
      <selection activeCell="M32" sqref="M32"/>
    </sheetView>
  </sheetViews>
  <sheetFormatPr defaultColWidth="0" defaultRowHeight="12.75"/>
  <cols>
    <col min="1" max="2" width="7.28515625" style="42" customWidth="1"/>
    <col min="3" max="3" width="15.140625" style="42" customWidth="1"/>
    <col min="4" max="8" width="10.7109375" style="42" customWidth="1"/>
    <col min="9" max="9" width="10.5703125" style="42" customWidth="1"/>
    <col min="10" max="10" width="23.5703125" style="42" customWidth="1"/>
    <col min="11" max="11" width="25.28515625" style="45" customWidth="1"/>
    <col min="12" max="12" width="7" style="42" customWidth="1"/>
    <col min="13" max="13" width="21.7109375" style="42" customWidth="1"/>
    <col min="14" max="14" width="15" style="42" customWidth="1"/>
    <col min="15" max="15" width="12.140625" style="42" customWidth="1"/>
    <col min="16" max="16" width="13" style="42" customWidth="1"/>
    <col min="17" max="18" width="9.28515625" style="42" customWidth="1"/>
    <col min="19" max="19" width="16.28515625" style="42" customWidth="1"/>
    <col min="20" max="20" width="9.28515625" style="42" customWidth="1"/>
    <col min="21" max="23" width="6.28515625" style="42" hidden="1"/>
    <col min="24" max="24" width="5.140625" style="42" hidden="1"/>
    <col min="25" max="25" width="3" style="42" hidden="1"/>
    <col min="26" max="26" width="7.42578125" style="42" hidden="1"/>
    <col min="27" max="27" width="7.85546875" style="42" hidden="1"/>
    <col min="28" max="28" width="3" style="42" hidden="1"/>
    <col min="29" max="29" width="12.140625" style="42" hidden="1"/>
    <col min="30" max="31" width="3" style="42" hidden="1"/>
    <col min="32" max="32" width="8.140625" style="42" hidden="1"/>
    <col min="33" max="33" width="3" style="42" hidden="1"/>
    <col min="34" max="34" width="23" style="42" hidden="1"/>
    <col min="35" max="256" width="3" style="42" hidden="1"/>
    <col min="257" max="257" width="4.5703125" style="42" hidden="1"/>
    <col min="258" max="258" width="6.28515625" style="42" hidden="1"/>
    <col min="259" max="259" width="16.7109375" style="42" hidden="1"/>
    <col min="260" max="260" width="8.5703125" style="42" hidden="1"/>
    <col min="261" max="261" width="11.140625" style="42" hidden="1"/>
    <col min="262" max="264" width="7.28515625" style="42" hidden="1"/>
    <col min="265" max="265" width="8.28515625" style="42" hidden="1"/>
    <col min="266" max="266" width="17.7109375" style="42" hidden="1"/>
    <col min="267" max="267" width="17.140625" style="42" hidden="1"/>
    <col min="268" max="268" width="12.85546875" style="42" hidden="1"/>
    <col min="269" max="269" width="11" style="42" hidden="1"/>
    <col min="270" max="270" width="11.140625" style="42" hidden="1"/>
    <col min="271" max="271" width="12.140625" style="42" hidden="1"/>
    <col min="272" max="272" width="9.140625" style="42" hidden="1"/>
    <col min="273" max="276" width="9.28515625" style="42" hidden="1"/>
    <col min="277" max="279" width="6.28515625" style="42" hidden="1"/>
    <col min="280" max="280" width="5.140625" style="42" hidden="1"/>
    <col min="281" max="281" width="3" style="42" hidden="1"/>
    <col min="282" max="282" width="7.42578125" style="42" hidden="1"/>
    <col min="283" max="283" width="7.85546875" style="42" hidden="1"/>
    <col min="284" max="284" width="3" style="42" hidden="1"/>
    <col min="285" max="285" width="12.140625" style="42" hidden="1"/>
    <col min="286" max="287" width="3" style="42" hidden="1"/>
    <col min="288" max="288" width="8.140625" style="42" hidden="1"/>
    <col min="289" max="289" width="3" style="42" hidden="1"/>
    <col min="290" max="290" width="23" style="42" hidden="1"/>
    <col min="291" max="512" width="3" style="42" hidden="1"/>
    <col min="513" max="513" width="4.5703125" style="42" hidden="1"/>
    <col min="514" max="514" width="6.28515625" style="42" hidden="1"/>
    <col min="515" max="515" width="16.7109375" style="42" hidden="1"/>
    <col min="516" max="516" width="8.5703125" style="42" hidden="1"/>
    <col min="517" max="517" width="11.140625" style="42" hidden="1"/>
    <col min="518" max="520" width="7.28515625" style="42" hidden="1"/>
    <col min="521" max="521" width="8.28515625" style="42" hidden="1"/>
    <col min="522" max="522" width="17.7109375" style="42" hidden="1"/>
    <col min="523" max="523" width="17.140625" style="42" hidden="1"/>
    <col min="524" max="524" width="12.85546875" style="42" hidden="1"/>
    <col min="525" max="525" width="11" style="42" hidden="1"/>
    <col min="526" max="526" width="11.140625" style="42" hidden="1"/>
    <col min="527" max="527" width="12.140625" style="42" hidden="1"/>
    <col min="528" max="528" width="9.140625" style="42" hidden="1"/>
    <col min="529" max="532" width="9.28515625" style="42" hidden="1"/>
    <col min="533" max="535" width="6.28515625" style="42" hidden="1"/>
    <col min="536" max="536" width="5.140625" style="42" hidden="1"/>
    <col min="537" max="537" width="3" style="42" hidden="1"/>
    <col min="538" max="538" width="7.42578125" style="42" hidden="1"/>
    <col min="539" max="539" width="7.85546875" style="42" hidden="1"/>
    <col min="540" max="540" width="3" style="42" hidden="1"/>
    <col min="541" max="541" width="12.140625" style="42" hidden="1"/>
    <col min="542" max="543" width="3" style="42" hidden="1"/>
    <col min="544" max="544" width="8.140625" style="42" hidden="1"/>
    <col min="545" max="545" width="3" style="42" hidden="1"/>
    <col min="546" max="546" width="23" style="42" hidden="1"/>
    <col min="547" max="768" width="3" style="42" hidden="1"/>
    <col min="769" max="769" width="4.5703125" style="42" hidden="1"/>
    <col min="770" max="770" width="6.28515625" style="42" hidden="1"/>
    <col min="771" max="771" width="16.7109375" style="42" hidden="1"/>
    <col min="772" max="772" width="8.5703125" style="42" hidden="1"/>
    <col min="773" max="773" width="11.140625" style="42" hidden="1"/>
    <col min="774" max="776" width="7.28515625" style="42" hidden="1"/>
    <col min="777" max="777" width="8.28515625" style="42" hidden="1"/>
    <col min="778" max="778" width="17.7109375" style="42" hidden="1"/>
    <col min="779" max="779" width="17.140625" style="42" hidden="1"/>
    <col min="780" max="780" width="12.85546875" style="42" hidden="1"/>
    <col min="781" max="781" width="11" style="42" hidden="1"/>
    <col min="782" max="782" width="11.140625" style="42" hidden="1"/>
    <col min="783" max="783" width="12.140625" style="42" hidden="1"/>
    <col min="784" max="784" width="9.140625" style="42" hidden="1"/>
    <col min="785" max="788" width="9.28515625" style="42" hidden="1"/>
    <col min="789" max="791" width="6.28515625" style="42" hidden="1"/>
    <col min="792" max="792" width="5.140625" style="42" hidden="1"/>
    <col min="793" max="793" width="3" style="42" hidden="1"/>
    <col min="794" max="794" width="7.42578125" style="42" hidden="1"/>
    <col min="795" max="795" width="7.85546875" style="42" hidden="1"/>
    <col min="796" max="796" width="3" style="42" hidden="1"/>
    <col min="797" max="797" width="12.140625" style="42" hidden="1"/>
    <col min="798" max="799" width="3" style="42" hidden="1"/>
    <col min="800" max="800" width="8.140625" style="42" hidden="1"/>
    <col min="801" max="801" width="3" style="42" hidden="1"/>
    <col min="802" max="802" width="23" style="42" hidden="1"/>
    <col min="803" max="1024" width="3" style="42" hidden="1"/>
    <col min="1025" max="1025" width="4.5703125" style="42" hidden="1"/>
    <col min="1026" max="1026" width="6.28515625" style="42" hidden="1"/>
    <col min="1027" max="1027" width="16.7109375" style="42" hidden="1"/>
    <col min="1028" max="1028" width="8.5703125" style="42" hidden="1"/>
    <col min="1029" max="1029" width="11.140625" style="42" hidden="1"/>
    <col min="1030" max="1032" width="7.28515625" style="42" hidden="1"/>
    <col min="1033" max="1033" width="8.28515625" style="42" hidden="1"/>
    <col min="1034" max="1034" width="17.7109375" style="42" hidden="1"/>
    <col min="1035" max="1035" width="17.140625" style="42" hidden="1"/>
    <col min="1036" max="1036" width="12.85546875" style="42" hidden="1"/>
    <col min="1037" max="1037" width="11" style="42" hidden="1"/>
    <col min="1038" max="1038" width="11.140625" style="42" hidden="1"/>
    <col min="1039" max="1039" width="12.140625" style="42" hidden="1"/>
    <col min="1040" max="1040" width="9.140625" style="42" hidden="1"/>
    <col min="1041" max="1044" width="9.28515625" style="42" hidden="1"/>
    <col min="1045" max="1047" width="6.28515625" style="42" hidden="1"/>
    <col min="1048" max="1048" width="5.140625" style="42" hidden="1"/>
    <col min="1049" max="1049" width="3" style="42" hidden="1"/>
    <col min="1050" max="1050" width="7.42578125" style="42" hidden="1"/>
    <col min="1051" max="1051" width="7.85546875" style="42" hidden="1"/>
    <col min="1052" max="1052" width="3" style="42" hidden="1"/>
    <col min="1053" max="1053" width="12.140625" style="42" hidden="1"/>
    <col min="1054" max="1055" width="3" style="42" hidden="1"/>
    <col min="1056" max="1056" width="8.140625" style="42" hidden="1"/>
    <col min="1057" max="1057" width="3" style="42" hidden="1"/>
    <col min="1058" max="1058" width="23" style="42" hidden="1"/>
    <col min="1059" max="1280" width="3" style="42" hidden="1"/>
    <col min="1281" max="1281" width="4.5703125" style="42" hidden="1"/>
    <col min="1282" max="1282" width="6.28515625" style="42" hidden="1"/>
    <col min="1283" max="1283" width="16.7109375" style="42" hidden="1"/>
    <col min="1284" max="1284" width="8.5703125" style="42" hidden="1"/>
    <col min="1285" max="1285" width="11.140625" style="42" hidden="1"/>
    <col min="1286" max="1288" width="7.28515625" style="42" hidden="1"/>
    <col min="1289" max="1289" width="8.28515625" style="42" hidden="1"/>
    <col min="1290" max="1290" width="17.7109375" style="42" hidden="1"/>
    <col min="1291" max="1291" width="17.140625" style="42" hidden="1"/>
    <col min="1292" max="1292" width="12.85546875" style="42" hidden="1"/>
    <col min="1293" max="1293" width="11" style="42" hidden="1"/>
    <col min="1294" max="1294" width="11.140625" style="42" hidden="1"/>
    <col min="1295" max="1295" width="12.140625" style="42" hidden="1"/>
    <col min="1296" max="1296" width="9.140625" style="42" hidden="1"/>
    <col min="1297" max="1300" width="9.28515625" style="42" hidden="1"/>
    <col min="1301" max="1303" width="6.28515625" style="42" hidden="1"/>
    <col min="1304" max="1304" width="5.140625" style="42" hidden="1"/>
    <col min="1305" max="1305" width="3" style="42" hidden="1"/>
    <col min="1306" max="1306" width="7.42578125" style="42" hidden="1"/>
    <col min="1307" max="1307" width="7.85546875" style="42" hidden="1"/>
    <col min="1308" max="1308" width="3" style="42" hidden="1"/>
    <col min="1309" max="1309" width="12.140625" style="42" hidden="1"/>
    <col min="1310" max="1311" width="3" style="42" hidden="1"/>
    <col min="1312" max="1312" width="8.140625" style="42" hidden="1"/>
    <col min="1313" max="1313" width="3" style="42" hidden="1"/>
    <col min="1314" max="1314" width="23" style="42" hidden="1"/>
    <col min="1315" max="1536" width="3" style="42" hidden="1"/>
    <col min="1537" max="1537" width="4.5703125" style="42" hidden="1"/>
    <col min="1538" max="1538" width="6.28515625" style="42" hidden="1"/>
    <col min="1539" max="1539" width="16.7109375" style="42" hidden="1"/>
    <col min="1540" max="1540" width="8.5703125" style="42" hidden="1"/>
    <col min="1541" max="1541" width="11.140625" style="42" hidden="1"/>
    <col min="1542" max="1544" width="7.28515625" style="42" hidden="1"/>
    <col min="1545" max="1545" width="8.28515625" style="42" hidden="1"/>
    <col min="1546" max="1546" width="17.7109375" style="42" hidden="1"/>
    <col min="1547" max="1547" width="17.140625" style="42" hidden="1"/>
    <col min="1548" max="1548" width="12.85546875" style="42" hidden="1"/>
    <col min="1549" max="1549" width="11" style="42" hidden="1"/>
    <col min="1550" max="1550" width="11.140625" style="42" hidden="1"/>
    <col min="1551" max="1551" width="12.140625" style="42" hidden="1"/>
    <col min="1552" max="1552" width="9.140625" style="42" hidden="1"/>
    <col min="1553" max="1556" width="9.28515625" style="42" hidden="1"/>
    <col min="1557" max="1559" width="6.28515625" style="42" hidden="1"/>
    <col min="1560" max="1560" width="5.140625" style="42" hidden="1"/>
    <col min="1561" max="1561" width="3" style="42" hidden="1"/>
    <col min="1562" max="1562" width="7.42578125" style="42" hidden="1"/>
    <col min="1563" max="1563" width="7.85546875" style="42" hidden="1"/>
    <col min="1564" max="1564" width="3" style="42" hidden="1"/>
    <col min="1565" max="1565" width="12.140625" style="42" hidden="1"/>
    <col min="1566" max="1567" width="3" style="42" hidden="1"/>
    <col min="1568" max="1568" width="8.140625" style="42" hidden="1"/>
    <col min="1569" max="1569" width="3" style="42" hidden="1"/>
    <col min="1570" max="1570" width="23" style="42" hidden="1"/>
    <col min="1571" max="1792" width="3" style="42" hidden="1"/>
    <col min="1793" max="1793" width="4.5703125" style="42" hidden="1"/>
    <col min="1794" max="1794" width="6.28515625" style="42" hidden="1"/>
    <col min="1795" max="1795" width="16.7109375" style="42" hidden="1"/>
    <col min="1796" max="1796" width="8.5703125" style="42" hidden="1"/>
    <col min="1797" max="1797" width="11.140625" style="42" hidden="1"/>
    <col min="1798" max="1800" width="7.28515625" style="42" hidden="1"/>
    <col min="1801" max="1801" width="8.28515625" style="42" hidden="1"/>
    <col min="1802" max="1802" width="17.7109375" style="42" hidden="1"/>
    <col min="1803" max="1803" width="17.140625" style="42" hidden="1"/>
    <col min="1804" max="1804" width="12.85546875" style="42" hidden="1"/>
    <col min="1805" max="1805" width="11" style="42" hidden="1"/>
    <col min="1806" max="1806" width="11.140625" style="42" hidden="1"/>
    <col min="1807" max="1807" width="12.140625" style="42" hidden="1"/>
    <col min="1808" max="1808" width="9.140625" style="42" hidden="1"/>
    <col min="1809" max="1812" width="9.28515625" style="42" hidden="1"/>
    <col min="1813" max="1815" width="6.28515625" style="42" hidden="1"/>
    <col min="1816" max="1816" width="5.140625" style="42" hidden="1"/>
    <col min="1817" max="1817" width="3" style="42" hidden="1"/>
    <col min="1818" max="1818" width="7.42578125" style="42" hidden="1"/>
    <col min="1819" max="1819" width="7.85546875" style="42" hidden="1"/>
    <col min="1820" max="1820" width="3" style="42" hidden="1"/>
    <col min="1821" max="1821" width="12.140625" style="42" hidden="1"/>
    <col min="1822" max="1823" width="3" style="42" hidden="1"/>
    <col min="1824" max="1824" width="8.140625" style="42" hidden="1"/>
    <col min="1825" max="1825" width="3" style="42" hidden="1"/>
    <col min="1826" max="1826" width="23" style="42" hidden="1"/>
    <col min="1827" max="2048" width="3" style="42" hidden="1"/>
    <col min="2049" max="2049" width="4.5703125" style="42" hidden="1"/>
    <col min="2050" max="2050" width="6.28515625" style="42" hidden="1"/>
    <col min="2051" max="2051" width="16.7109375" style="42" hidden="1"/>
    <col min="2052" max="2052" width="8.5703125" style="42" hidden="1"/>
    <col min="2053" max="2053" width="11.140625" style="42" hidden="1"/>
    <col min="2054" max="2056" width="7.28515625" style="42" hidden="1"/>
    <col min="2057" max="2057" width="8.28515625" style="42" hidden="1"/>
    <col min="2058" max="2058" width="17.7109375" style="42" hidden="1"/>
    <col min="2059" max="2059" width="17.140625" style="42" hidden="1"/>
    <col min="2060" max="2060" width="12.85546875" style="42" hidden="1"/>
    <col min="2061" max="2061" width="11" style="42" hidden="1"/>
    <col min="2062" max="2062" width="11.140625" style="42" hidden="1"/>
    <col min="2063" max="2063" width="12.140625" style="42" hidden="1"/>
    <col min="2064" max="2064" width="9.140625" style="42" hidden="1"/>
    <col min="2065" max="2068" width="9.28515625" style="42" hidden="1"/>
    <col min="2069" max="2071" width="6.28515625" style="42" hidden="1"/>
    <col min="2072" max="2072" width="5.140625" style="42" hidden="1"/>
    <col min="2073" max="2073" width="3" style="42" hidden="1"/>
    <col min="2074" max="2074" width="7.42578125" style="42" hidden="1"/>
    <col min="2075" max="2075" width="7.85546875" style="42" hidden="1"/>
    <col min="2076" max="2076" width="3" style="42" hidden="1"/>
    <col min="2077" max="2077" width="12.140625" style="42" hidden="1"/>
    <col min="2078" max="2079" width="3" style="42" hidden="1"/>
    <col min="2080" max="2080" width="8.140625" style="42" hidden="1"/>
    <col min="2081" max="2081" width="3" style="42" hidden="1"/>
    <col min="2082" max="2082" width="23" style="42" hidden="1"/>
    <col min="2083" max="2304" width="3" style="42" hidden="1"/>
    <col min="2305" max="2305" width="4.5703125" style="42" hidden="1"/>
    <col min="2306" max="2306" width="6.28515625" style="42" hidden="1"/>
    <col min="2307" max="2307" width="16.7109375" style="42" hidden="1"/>
    <col min="2308" max="2308" width="8.5703125" style="42" hidden="1"/>
    <col min="2309" max="2309" width="11.140625" style="42" hidden="1"/>
    <col min="2310" max="2312" width="7.28515625" style="42" hidden="1"/>
    <col min="2313" max="2313" width="8.28515625" style="42" hidden="1"/>
    <col min="2314" max="2314" width="17.7109375" style="42" hidden="1"/>
    <col min="2315" max="2315" width="17.140625" style="42" hidden="1"/>
    <col min="2316" max="2316" width="12.85546875" style="42" hidden="1"/>
    <col min="2317" max="2317" width="11" style="42" hidden="1"/>
    <col min="2318" max="2318" width="11.140625" style="42" hidden="1"/>
    <col min="2319" max="2319" width="12.140625" style="42" hidden="1"/>
    <col min="2320" max="2320" width="9.140625" style="42" hidden="1"/>
    <col min="2321" max="2324" width="9.28515625" style="42" hidden="1"/>
    <col min="2325" max="2327" width="6.28515625" style="42" hidden="1"/>
    <col min="2328" max="2328" width="5.140625" style="42" hidden="1"/>
    <col min="2329" max="2329" width="3" style="42" hidden="1"/>
    <col min="2330" max="2330" width="7.42578125" style="42" hidden="1"/>
    <col min="2331" max="2331" width="7.85546875" style="42" hidden="1"/>
    <col min="2332" max="2332" width="3" style="42" hidden="1"/>
    <col min="2333" max="2333" width="12.140625" style="42" hidden="1"/>
    <col min="2334" max="2335" width="3" style="42" hidden="1"/>
    <col min="2336" max="2336" width="8.140625" style="42" hidden="1"/>
    <col min="2337" max="2337" width="3" style="42" hidden="1"/>
    <col min="2338" max="2338" width="23" style="42" hidden="1"/>
    <col min="2339" max="2560" width="3" style="42" hidden="1"/>
    <col min="2561" max="2561" width="4.5703125" style="42" hidden="1"/>
    <col min="2562" max="2562" width="6.28515625" style="42" hidden="1"/>
    <col min="2563" max="2563" width="16.7109375" style="42" hidden="1"/>
    <col min="2564" max="2564" width="8.5703125" style="42" hidden="1"/>
    <col min="2565" max="2565" width="11.140625" style="42" hidden="1"/>
    <col min="2566" max="2568" width="7.28515625" style="42" hidden="1"/>
    <col min="2569" max="2569" width="8.28515625" style="42" hidden="1"/>
    <col min="2570" max="2570" width="17.7109375" style="42" hidden="1"/>
    <col min="2571" max="2571" width="17.140625" style="42" hidden="1"/>
    <col min="2572" max="2572" width="12.85546875" style="42" hidden="1"/>
    <col min="2573" max="2573" width="11" style="42" hidden="1"/>
    <col min="2574" max="2574" width="11.140625" style="42" hidden="1"/>
    <col min="2575" max="2575" width="12.140625" style="42" hidden="1"/>
    <col min="2576" max="2576" width="9.140625" style="42" hidden="1"/>
    <col min="2577" max="2580" width="9.28515625" style="42" hidden="1"/>
    <col min="2581" max="2583" width="6.28515625" style="42" hidden="1"/>
    <col min="2584" max="2584" width="5.140625" style="42" hidden="1"/>
    <col min="2585" max="2585" width="3" style="42" hidden="1"/>
    <col min="2586" max="2586" width="7.42578125" style="42" hidden="1"/>
    <col min="2587" max="2587" width="7.85546875" style="42" hidden="1"/>
    <col min="2588" max="2588" width="3" style="42" hidden="1"/>
    <col min="2589" max="2589" width="12.140625" style="42" hidden="1"/>
    <col min="2590" max="2591" width="3" style="42" hidden="1"/>
    <col min="2592" max="2592" width="8.140625" style="42" hidden="1"/>
    <col min="2593" max="2593" width="3" style="42" hidden="1"/>
    <col min="2594" max="2594" width="23" style="42" hidden="1"/>
    <col min="2595" max="2816" width="3" style="42" hidden="1"/>
    <col min="2817" max="2817" width="4.5703125" style="42" hidden="1"/>
    <col min="2818" max="2818" width="6.28515625" style="42" hidden="1"/>
    <col min="2819" max="2819" width="16.7109375" style="42" hidden="1"/>
    <col min="2820" max="2820" width="8.5703125" style="42" hidden="1"/>
    <col min="2821" max="2821" width="11.140625" style="42" hidden="1"/>
    <col min="2822" max="2824" width="7.28515625" style="42" hidden="1"/>
    <col min="2825" max="2825" width="8.28515625" style="42" hidden="1"/>
    <col min="2826" max="2826" width="17.7109375" style="42" hidden="1"/>
    <col min="2827" max="2827" width="17.140625" style="42" hidden="1"/>
    <col min="2828" max="2828" width="12.85546875" style="42" hidden="1"/>
    <col min="2829" max="2829" width="11" style="42" hidden="1"/>
    <col min="2830" max="2830" width="11.140625" style="42" hidden="1"/>
    <col min="2831" max="2831" width="12.140625" style="42" hidden="1"/>
    <col min="2832" max="2832" width="9.140625" style="42" hidden="1"/>
    <col min="2833" max="2836" width="9.28515625" style="42" hidden="1"/>
    <col min="2837" max="2839" width="6.28515625" style="42" hidden="1"/>
    <col min="2840" max="2840" width="5.140625" style="42" hidden="1"/>
    <col min="2841" max="2841" width="3" style="42" hidden="1"/>
    <col min="2842" max="2842" width="7.42578125" style="42" hidden="1"/>
    <col min="2843" max="2843" width="7.85546875" style="42" hidden="1"/>
    <col min="2844" max="2844" width="3" style="42" hidden="1"/>
    <col min="2845" max="2845" width="12.140625" style="42" hidden="1"/>
    <col min="2846" max="2847" width="3" style="42" hidden="1"/>
    <col min="2848" max="2848" width="8.140625" style="42" hidden="1"/>
    <col min="2849" max="2849" width="3" style="42" hidden="1"/>
    <col min="2850" max="2850" width="23" style="42" hidden="1"/>
    <col min="2851" max="3072" width="3" style="42" hidden="1"/>
    <col min="3073" max="3073" width="4.5703125" style="42" hidden="1"/>
    <col min="3074" max="3074" width="6.28515625" style="42" hidden="1"/>
    <col min="3075" max="3075" width="16.7109375" style="42" hidden="1"/>
    <col min="3076" max="3076" width="8.5703125" style="42" hidden="1"/>
    <col min="3077" max="3077" width="11.140625" style="42" hidden="1"/>
    <col min="3078" max="3080" width="7.28515625" style="42" hidden="1"/>
    <col min="3081" max="3081" width="8.28515625" style="42" hidden="1"/>
    <col min="3082" max="3082" width="17.7109375" style="42" hidden="1"/>
    <col min="3083" max="3083" width="17.140625" style="42" hidden="1"/>
    <col min="3084" max="3084" width="12.85546875" style="42" hidden="1"/>
    <col min="3085" max="3085" width="11" style="42" hidden="1"/>
    <col min="3086" max="3086" width="11.140625" style="42" hidden="1"/>
    <col min="3087" max="3087" width="12.140625" style="42" hidden="1"/>
    <col min="3088" max="3088" width="9.140625" style="42" hidden="1"/>
    <col min="3089" max="3092" width="9.28515625" style="42" hidden="1"/>
    <col min="3093" max="3095" width="6.28515625" style="42" hidden="1"/>
    <col min="3096" max="3096" width="5.140625" style="42" hidden="1"/>
    <col min="3097" max="3097" width="3" style="42" hidden="1"/>
    <col min="3098" max="3098" width="7.42578125" style="42" hidden="1"/>
    <col min="3099" max="3099" width="7.85546875" style="42" hidden="1"/>
    <col min="3100" max="3100" width="3" style="42" hidden="1"/>
    <col min="3101" max="3101" width="12.140625" style="42" hidden="1"/>
    <col min="3102" max="3103" width="3" style="42" hidden="1"/>
    <col min="3104" max="3104" width="8.140625" style="42" hidden="1"/>
    <col min="3105" max="3105" width="3" style="42" hidden="1"/>
    <col min="3106" max="3106" width="23" style="42" hidden="1"/>
    <col min="3107" max="3328" width="3" style="42" hidden="1"/>
    <col min="3329" max="3329" width="4.5703125" style="42" hidden="1"/>
    <col min="3330" max="3330" width="6.28515625" style="42" hidden="1"/>
    <col min="3331" max="3331" width="16.7109375" style="42" hidden="1"/>
    <col min="3332" max="3332" width="8.5703125" style="42" hidden="1"/>
    <col min="3333" max="3333" width="11.140625" style="42" hidden="1"/>
    <col min="3334" max="3336" width="7.28515625" style="42" hidden="1"/>
    <col min="3337" max="3337" width="8.28515625" style="42" hidden="1"/>
    <col min="3338" max="3338" width="17.7109375" style="42" hidden="1"/>
    <col min="3339" max="3339" width="17.140625" style="42" hidden="1"/>
    <col min="3340" max="3340" width="12.85546875" style="42" hidden="1"/>
    <col min="3341" max="3341" width="11" style="42" hidden="1"/>
    <col min="3342" max="3342" width="11.140625" style="42" hidden="1"/>
    <col min="3343" max="3343" width="12.140625" style="42" hidden="1"/>
    <col min="3344" max="3344" width="9.140625" style="42" hidden="1"/>
    <col min="3345" max="3348" width="9.28515625" style="42" hidden="1"/>
    <col min="3349" max="3351" width="6.28515625" style="42" hidden="1"/>
    <col min="3352" max="3352" width="5.140625" style="42" hidden="1"/>
    <col min="3353" max="3353" width="3" style="42" hidden="1"/>
    <col min="3354" max="3354" width="7.42578125" style="42" hidden="1"/>
    <col min="3355" max="3355" width="7.85546875" style="42" hidden="1"/>
    <col min="3356" max="3356" width="3" style="42" hidden="1"/>
    <col min="3357" max="3357" width="12.140625" style="42" hidden="1"/>
    <col min="3358" max="3359" width="3" style="42" hidden="1"/>
    <col min="3360" max="3360" width="8.140625" style="42" hidden="1"/>
    <col min="3361" max="3361" width="3" style="42" hidden="1"/>
    <col min="3362" max="3362" width="23" style="42" hidden="1"/>
    <col min="3363" max="3584" width="3" style="42" hidden="1"/>
    <col min="3585" max="3585" width="4.5703125" style="42" hidden="1"/>
    <col min="3586" max="3586" width="6.28515625" style="42" hidden="1"/>
    <col min="3587" max="3587" width="16.7109375" style="42" hidden="1"/>
    <col min="3588" max="3588" width="8.5703125" style="42" hidden="1"/>
    <col min="3589" max="3589" width="11.140625" style="42" hidden="1"/>
    <col min="3590" max="3592" width="7.28515625" style="42" hidden="1"/>
    <col min="3593" max="3593" width="8.28515625" style="42" hidden="1"/>
    <col min="3594" max="3594" width="17.7109375" style="42" hidden="1"/>
    <col min="3595" max="3595" width="17.140625" style="42" hidden="1"/>
    <col min="3596" max="3596" width="12.85546875" style="42" hidden="1"/>
    <col min="3597" max="3597" width="11" style="42" hidden="1"/>
    <col min="3598" max="3598" width="11.140625" style="42" hidden="1"/>
    <col min="3599" max="3599" width="12.140625" style="42" hidden="1"/>
    <col min="3600" max="3600" width="9.140625" style="42" hidden="1"/>
    <col min="3601" max="3604" width="9.28515625" style="42" hidden="1"/>
    <col min="3605" max="3607" width="6.28515625" style="42" hidden="1"/>
    <col min="3608" max="3608" width="5.140625" style="42" hidden="1"/>
    <col min="3609" max="3609" width="3" style="42" hidden="1"/>
    <col min="3610" max="3610" width="7.42578125" style="42" hidden="1"/>
    <col min="3611" max="3611" width="7.85546875" style="42" hidden="1"/>
    <col min="3612" max="3612" width="3" style="42" hidden="1"/>
    <col min="3613" max="3613" width="12.140625" style="42" hidden="1"/>
    <col min="3614" max="3615" width="3" style="42" hidden="1"/>
    <col min="3616" max="3616" width="8.140625" style="42" hidden="1"/>
    <col min="3617" max="3617" width="3" style="42" hidden="1"/>
    <col min="3618" max="3618" width="23" style="42" hidden="1"/>
    <col min="3619" max="3840" width="3" style="42" hidden="1"/>
    <col min="3841" max="3841" width="4.5703125" style="42" hidden="1"/>
    <col min="3842" max="3842" width="6.28515625" style="42" hidden="1"/>
    <col min="3843" max="3843" width="16.7109375" style="42" hidden="1"/>
    <col min="3844" max="3844" width="8.5703125" style="42" hidden="1"/>
    <col min="3845" max="3845" width="11.140625" style="42" hidden="1"/>
    <col min="3846" max="3848" width="7.28515625" style="42" hidden="1"/>
    <col min="3849" max="3849" width="8.28515625" style="42" hidden="1"/>
    <col min="3850" max="3850" width="17.7109375" style="42" hidden="1"/>
    <col min="3851" max="3851" width="17.140625" style="42" hidden="1"/>
    <col min="3852" max="3852" width="12.85546875" style="42" hidden="1"/>
    <col min="3853" max="3853" width="11" style="42" hidden="1"/>
    <col min="3854" max="3854" width="11.140625" style="42" hidden="1"/>
    <col min="3855" max="3855" width="12.140625" style="42" hidden="1"/>
    <col min="3856" max="3856" width="9.140625" style="42" hidden="1"/>
    <col min="3857" max="3860" width="9.28515625" style="42" hidden="1"/>
    <col min="3861" max="3863" width="6.28515625" style="42" hidden="1"/>
    <col min="3864" max="3864" width="5.140625" style="42" hidden="1"/>
    <col min="3865" max="3865" width="3" style="42" hidden="1"/>
    <col min="3866" max="3866" width="7.42578125" style="42" hidden="1"/>
    <col min="3867" max="3867" width="7.85546875" style="42" hidden="1"/>
    <col min="3868" max="3868" width="3" style="42" hidden="1"/>
    <col min="3869" max="3869" width="12.140625" style="42" hidden="1"/>
    <col min="3870" max="3871" width="3" style="42" hidden="1"/>
    <col min="3872" max="3872" width="8.140625" style="42" hidden="1"/>
    <col min="3873" max="3873" width="3" style="42" hidden="1"/>
    <col min="3874" max="3874" width="23" style="42" hidden="1"/>
    <col min="3875" max="4096" width="3" style="42" hidden="1"/>
    <col min="4097" max="4097" width="4.5703125" style="42" hidden="1"/>
    <col min="4098" max="4098" width="6.28515625" style="42" hidden="1"/>
    <col min="4099" max="4099" width="16.7109375" style="42" hidden="1"/>
    <col min="4100" max="4100" width="8.5703125" style="42" hidden="1"/>
    <col min="4101" max="4101" width="11.140625" style="42" hidden="1"/>
    <col min="4102" max="4104" width="7.28515625" style="42" hidden="1"/>
    <col min="4105" max="4105" width="8.28515625" style="42" hidden="1"/>
    <col min="4106" max="4106" width="17.7109375" style="42" hidden="1"/>
    <col min="4107" max="4107" width="17.140625" style="42" hidden="1"/>
    <col min="4108" max="4108" width="12.85546875" style="42" hidden="1"/>
    <col min="4109" max="4109" width="11" style="42" hidden="1"/>
    <col min="4110" max="4110" width="11.140625" style="42" hidden="1"/>
    <col min="4111" max="4111" width="12.140625" style="42" hidden="1"/>
    <col min="4112" max="4112" width="9.140625" style="42" hidden="1"/>
    <col min="4113" max="4116" width="9.28515625" style="42" hidden="1"/>
    <col min="4117" max="4119" width="6.28515625" style="42" hidden="1"/>
    <col min="4120" max="4120" width="5.140625" style="42" hidden="1"/>
    <col min="4121" max="4121" width="3" style="42" hidden="1"/>
    <col min="4122" max="4122" width="7.42578125" style="42" hidden="1"/>
    <col min="4123" max="4123" width="7.85546875" style="42" hidden="1"/>
    <col min="4124" max="4124" width="3" style="42" hidden="1"/>
    <col min="4125" max="4125" width="12.140625" style="42" hidden="1"/>
    <col min="4126" max="4127" width="3" style="42" hidden="1"/>
    <col min="4128" max="4128" width="8.140625" style="42" hidden="1"/>
    <col min="4129" max="4129" width="3" style="42" hidden="1"/>
    <col min="4130" max="4130" width="23" style="42" hidden="1"/>
    <col min="4131" max="4352" width="3" style="42" hidden="1"/>
    <col min="4353" max="4353" width="4.5703125" style="42" hidden="1"/>
    <col min="4354" max="4354" width="6.28515625" style="42" hidden="1"/>
    <col min="4355" max="4355" width="16.7109375" style="42" hidden="1"/>
    <col min="4356" max="4356" width="8.5703125" style="42" hidden="1"/>
    <col min="4357" max="4357" width="11.140625" style="42" hidden="1"/>
    <col min="4358" max="4360" width="7.28515625" style="42" hidden="1"/>
    <col min="4361" max="4361" width="8.28515625" style="42" hidden="1"/>
    <col min="4362" max="4362" width="17.7109375" style="42" hidden="1"/>
    <col min="4363" max="4363" width="17.140625" style="42" hidden="1"/>
    <col min="4364" max="4364" width="12.85546875" style="42" hidden="1"/>
    <col min="4365" max="4365" width="11" style="42" hidden="1"/>
    <col min="4366" max="4366" width="11.140625" style="42" hidden="1"/>
    <col min="4367" max="4367" width="12.140625" style="42" hidden="1"/>
    <col min="4368" max="4368" width="9.140625" style="42" hidden="1"/>
    <col min="4369" max="4372" width="9.28515625" style="42" hidden="1"/>
    <col min="4373" max="4375" width="6.28515625" style="42" hidden="1"/>
    <col min="4376" max="4376" width="5.140625" style="42" hidden="1"/>
    <col min="4377" max="4377" width="3" style="42" hidden="1"/>
    <col min="4378" max="4378" width="7.42578125" style="42" hidden="1"/>
    <col min="4379" max="4379" width="7.85546875" style="42" hidden="1"/>
    <col min="4380" max="4380" width="3" style="42" hidden="1"/>
    <col min="4381" max="4381" width="12.140625" style="42" hidden="1"/>
    <col min="4382" max="4383" width="3" style="42" hidden="1"/>
    <col min="4384" max="4384" width="8.140625" style="42" hidden="1"/>
    <col min="4385" max="4385" width="3" style="42" hidden="1"/>
    <col min="4386" max="4386" width="23" style="42" hidden="1"/>
    <col min="4387" max="4608" width="3" style="42" hidden="1"/>
    <col min="4609" max="4609" width="4.5703125" style="42" hidden="1"/>
    <col min="4610" max="4610" width="6.28515625" style="42" hidden="1"/>
    <col min="4611" max="4611" width="16.7109375" style="42" hidden="1"/>
    <col min="4612" max="4612" width="8.5703125" style="42" hidden="1"/>
    <col min="4613" max="4613" width="11.140625" style="42" hidden="1"/>
    <col min="4614" max="4616" width="7.28515625" style="42" hidden="1"/>
    <col min="4617" max="4617" width="8.28515625" style="42" hidden="1"/>
    <col min="4618" max="4618" width="17.7109375" style="42" hidden="1"/>
    <col min="4619" max="4619" width="17.140625" style="42" hidden="1"/>
    <col min="4620" max="4620" width="12.85546875" style="42" hidden="1"/>
    <col min="4621" max="4621" width="11" style="42" hidden="1"/>
    <col min="4622" max="4622" width="11.140625" style="42" hidden="1"/>
    <col min="4623" max="4623" width="12.140625" style="42" hidden="1"/>
    <col min="4624" max="4624" width="9.140625" style="42" hidden="1"/>
    <col min="4625" max="4628" width="9.28515625" style="42" hidden="1"/>
    <col min="4629" max="4631" width="6.28515625" style="42" hidden="1"/>
    <col min="4632" max="4632" width="5.140625" style="42" hidden="1"/>
    <col min="4633" max="4633" width="3" style="42" hidden="1"/>
    <col min="4634" max="4634" width="7.42578125" style="42" hidden="1"/>
    <col min="4635" max="4635" width="7.85546875" style="42" hidden="1"/>
    <col min="4636" max="4636" width="3" style="42" hidden="1"/>
    <col min="4637" max="4637" width="12.140625" style="42" hidden="1"/>
    <col min="4638" max="4639" width="3" style="42" hidden="1"/>
    <col min="4640" max="4640" width="8.140625" style="42" hidden="1"/>
    <col min="4641" max="4641" width="3" style="42" hidden="1"/>
    <col min="4642" max="4642" width="23" style="42" hidden="1"/>
    <col min="4643" max="4864" width="3" style="42" hidden="1"/>
    <col min="4865" max="4865" width="4.5703125" style="42" hidden="1"/>
    <col min="4866" max="4866" width="6.28515625" style="42" hidden="1"/>
    <col min="4867" max="4867" width="16.7109375" style="42" hidden="1"/>
    <col min="4868" max="4868" width="8.5703125" style="42" hidden="1"/>
    <col min="4869" max="4869" width="11.140625" style="42" hidden="1"/>
    <col min="4870" max="4872" width="7.28515625" style="42" hidden="1"/>
    <col min="4873" max="4873" width="8.28515625" style="42" hidden="1"/>
    <col min="4874" max="4874" width="17.7109375" style="42" hidden="1"/>
    <col min="4875" max="4875" width="17.140625" style="42" hidden="1"/>
    <col min="4876" max="4876" width="12.85546875" style="42" hidden="1"/>
    <col min="4877" max="4877" width="11" style="42" hidden="1"/>
    <col min="4878" max="4878" width="11.140625" style="42" hidden="1"/>
    <col min="4879" max="4879" width="12.140625" style="42" hidden="1"/>
    <col min="4880" max="4880" width="9.140625" style="42" hidden="1"/>
    <col min="4881" max="4884" width="9.28515625" style="42" hidden="1"/>
    <col min="4885" max="4887" width="6.28515625" style="42" hidden="1"/>
    <col min="4888" max="4888" width="5.140625" style="42" hidden="1"/>
    <col min="4889" max="4889" width="3" style="42" hidden="1"/>
    <col min="4890" max="4890" width="7.42578125" style="42" hidden="1"/>
    <col min="4891" max="4891" width="7.85546875" style="42" hidden="1"/>
    <col min="4892" max="4892" width="3" style="42" hidden="1"/>
    <col min="4893" max="4893" width="12.140625" style="42" hidden="1"/>
    <col min="4894" max="4895" width="3" style="42" hidden="1"/>
    <col min="4896" max="4896" width="8.140625" style="42" hidden="1"/>
    <col min="4897" max="4897" width="3" style="42" hidden="1"/>
    <col min="4898" max="4898" width="23" style="42" hidden="1"/>
    <col min="4899" max="5120" width="3" style="42" hidden="1"/>
    <col min="5121" max="5121" width="4.5703125" style="42" hidden="1"/>
    <col min="5122" max="5122" width="6.28515625" style="42" hidden="1"/>
    <col min="5123" max="5123" width="16.7109375" style="42" hidden="1"/>
    <col min="5124" max="5124" width="8.5703125" style="42" hidden="1"/>
    <col min="5125" max="5125" width="11.140625" style="42" hidden="1"/>
    <col min="5126" max="5128" width="7.28515625" style="42" hidden="1"/>
    <col min="5129" max="5129" width="8.28515625" style="42" hidden="1"/>
    <col min="5130" max="5130" width="17.7109375" style="42" hidden="1"/>
    <col min="5131" max="5131" width="17.140625" style="42" hidden="1"/>
    <col min="5132" max="5132" width="12.85546875" style="42" hidden="1"/>
    <col min="5133" max="5133" width="11" style="42" hidden="1"/>
    <col min="5134" max="5134" width="11.140625" style="42" hidden="1"/>
    <col min="5135" max="5135" width="12.140625" style="42" hidden="1"/>
    <col min="5136" max="5136" width="9.140625" style="42" hidden="1"/>
    <col min="5137" max="5140" width="9.28515625" style="42" hidden="1"/>
    <col min="5141" max="5143" width="6.28515625" style="42" hidden="1"/>
    <col min="5144" max="5144" width="5.140625" style="42" hidden="1"/>
    <col min="5145" max="5145" width="3" style="42" hidden="1"/>
    <col min="5146" max="5146" width="7.42578125" style="42" hidden="1"/>
    <col min="5147" max="5147" width="7.85546875" style="42" hidden="1"/>
    <col min="5148" max="5148" width="3" style="42" hidden="1"/>
    <col min="5149" max="5149" width="12.140625" style="42" hidden="1"/>
    <col min="5150" max="5151" width="3" style="42" hidden="1"/>
    <col min="5152" max="5152" width="8.140625" style="42" hidden="1"/>
    <col min="5153" max="5153" width="3" style="42" hidden="1"/>
    <col min="5154" max="5154" width="23" style="42" hidden="1"/>
    <col min="5155" max="5376" width="3" style="42" hidden="1"/>
    <col min="5377" max="5377" width="4.5703125" style="42" hidden="1"/>
    <col min="5378" max="5378" width="6.28515625" style="42" hidden="1"/>
    <col min="5379" max="5379" width="16.7109375" style="42" hidden="1"/>
    <col min="5380" max="5380" width="8.5703125" style="42" hidden="1"/>
    <col min="5381" max="5381" width="11.140625" style="42" hidden="1"/>
    <col min="5382" max="5384" width="7.28515625" style="42" hidden="1"/>
    <col min="5385" max="5385" width="8.28515625" style="42" hidden="1"/>
    <col min="5386" max="5386" width="17.7109375" style="42" hidden="1"/>
    <col min="5387" max="5387" width="17.140625" style="42" hidden="1"/>
    <col min="5388" max="5388" width="12.85546875" style="42" hidden="1"/>
    <col min="5389" max="5389" width="11" style="42" hidden="1"/>
    <col min="5390" max="5390" width="11.140625" style="42" hidden="1"/>
    <col min="5391" max="5391" width="12.140625" style="42" hidden="1"/>
    <col min="5392" max="5392" width="9.140625" style="42" hidden="1"/>
    <col min="5393" max="5396" width="9.28515625" style="42" hidden="1"/>
    <col min="5397" max="5399" width="6.28515625" style="42" hidden="1"/>
    <col min="5400" max="5400" width="5.140625" style="42" hidden="1"/>
    <col min="5401" max="5401" width="3" style="42" hidden="1"/>
    <col min="5402" max="5402" width="7.42578125" style="42" hidden="1"/>
    <col min="5403" max="5403" width="7.85546875" style="42" hidden="1"/>
    <col min="5404" max="5404" width="3" style="42" hidden="1"/>
    <col min="5405" max="5405" width="12.140625" style="42" hidden="1"/>
    <col min="5406" max="5407" width="3" style="42" hidden="1"/>
    <col min="5408" max="5408" width="8.140625" style="42" hidden="1"/>
    <col min="5409" max="5409" width="3" style="42" hidden="1"/>
    <col min="5410" max="5410" width="23" style="42" hidden="1"/>
    <col min="5411" max="5632" width="3" style="42" hidden="1"/>
    <col min="5633" max="5633" width="4.5703125" style="42" hidden="1"/>
    <col min="5634" max="5634" width="6.28515625" style="42" hidden="1"/>
    <col min="5635" max="5635" width="16.7109375" style="42" hidden="1"/>
    <col min="5636" max="5636" width="8.5703125" style="42" hidden="1"/>
    <col min="5637" max="5637" width="11.140625" style="42" hidden="1"/>
    <col min="5638" max="5640" width="7.28515625" style="42" hidden="1"/>
    <col min="5641" max="5641" width="8.28515625" style="42" hidden="1"/>
    <col min="5642" max="5642" width="17.7109375" style="42" hidden="1"/>
    <col min="5643" max="5643" width="17.140625" style="42" hidden="1"/>
    <col min="5644" max="5644" width="12.85546875" style="42" hidden="1"/>
    <col min="5645" max="5645" width="11" style="42" hidden="1"/>
    <col min="5646" max="5646" width="11.140625" style="42" hidden="1"/>
    <col min="5647" max="5647" width="12.140625" style="42" hidden="1"/>
    <col min="5648" max="5648" width="9.140625" style="42" hidden="1"/>
    <col min="5649" max="5652" width="9.28515625" style="42" hidden="1"/>
    <col min="5653" max="5655" width="6.28515625" style="42" hidden="1"/>
    <col min="5656" max="5656" width="5.140625" style="42" hidden="1"/>
    <col min="5657" max="5657" width="3" style="42" hidden="1"/>
    <col min="5658" max="5658" width="7.42578125" style="42" hidden="1"/>
    <col min="5659" max="5659" width="7.85546875" style="42" hidden="1"/>
    <col min="5660" max="5660" width="3" style="42" hidden="1"/>
    <col min="5661" max="5661" width="12.140625" style="42" hidden="1"/>
    <col min="5662" max="5663" width="3" style="42" hidden="1"/>
    <col min="5664" max="5664" width="8.140625" style="42" hidden="1"/>
    <col min="5665" max="5665" width="3" style="42" hidden="1"/>
    <col min="5666" max="5666" width="23" style="42" hidden="1"/>
    <col min="5667" max="5888" width="3" style="42" hidden="1"/>
    <col min="5889" max="5889" width="4.5703125" style="42" hidden="1"/>
    <col min="5890" max="5890" width="6.28515625" style="42" hidden="1"/>
    <col min="5891" max="5891" width="16.7109375" style="42" hidden="1"/>
    <col min="5892" max="5892" width="8.5703125" style="42" hidden="1"/>
    <col min="5893" max="5893" width="11.140625" style="42" hidden="1"/>
    <col min="5894" max="5896" width="7.28515625" style="42" hidden="1"/>
    <col min="5897" max="5897" width="8.28515625" style="42" hidden="1"/>
    <col min="5898" max="5898" width="17.7109375" style="42" hidden="1"/>
    <col min="5899" max="5899" width="17.140625" style="42" hidden="1"/>
    <col min="5900" max="5900" width="12.85546875" style="42" hidden="1"/>
    <col min="5901" max="5901" width="11" style="42" hidden="1"/>
    <col min="5902" max="5902" width="11.140625" style="42" hidden="1"/>
    <col min="5903" max="5903" width="12.140625" style="42" hidden="1"/>
    <col min="5904" max="5904" width="9.140625" style="42" hidden="1"/>
    <col min="5905" max="5908" width="9.28515625" style="42" hidden="1"/>
    <col min="5909" max="5911" width="6.28515625" style="42" hidden="1"/>
    <col min="5912" max="5912" width="5.140625" style="42" hidden="1"/>
    <col min="5913" max="5913" width="3" style="42" hidden="1"/>
    <col min="5914" max="5914" width="7.42578125" style="42" hidden="1"/>
    <col min="5915" max="5915" width="7.85546875" style="42" hidden="1"/>
    <col min="5916" max="5916" width="3" style="42" hidden="1"/>
    <col min="5917" max="5917" width="12.140625" style="42" hidden="1"/>
    <col min="5918" max="5919" width="3" style="42" hidden="1"/>
    <col min="5920" max="5920" width="8.140625" style="42" hidden="1"/>
    <col min="5921" max="5921" width="3" style="42" hidden="1"/>
    <col min="5922" max="5922" width="23" style="42" hidden="1"/>
    <col min="5923" max="6144" width="3" style="42" hidden="1"/>
    <col min="6145" max="6145" width="4.5703125" style="42" hidden="1"/>
    <col min="6146" max="6146" width="6.28515625" style="42" hidden="1"/>
    <col min="6147" max="6147" width="16.7109375" style="42" hidden="1"/>
    <col min="6148" max="6148" width="8.5703125" style="42" hidden="1"/>
    <col min="6149" max="6149" width="11.140625" style="42" hidden="1"/>
    <col min="6150" max="6152" width="7.28515625" style="42" hidden="1"/>
    <col min="6153" max="6153" width="8.28515625" style="42" hidden="1"/>
    <col min="6154" max="6154" width="17.7109375" style="42" hidden="1"/>
    <col min="6155" max="6155" width="17.140625" style="42" hidden="1"/>
    <col min="6156" max="6156" width="12.85546875" style="42" hidden="1"/>
    <col min="6157" max="6157" width="11" style="42" hidden="1"/>
    <col min="6158" max="6158" width="11.140625" style="42" hidden="1"/>
    <col min="6159" max="6159" width="12.140625" style="42" hidden="1"/>
    <col min="6160" max="6160" width="9.140625" style="42" hidden="1"/>
    <col min="6161" max="6164" width="9.28515625" style="42" hidden="1"/>
    <col min="6165" max="6167" width="6.28515625" style="42" hidden="1"/>
    <col min="6168" max="6168" width="5.140625" style="42" hidden="1"/>
    <col min="6169" max="6169" width="3" style="42" hidden="1"/>
    <col min="6170" max="6170" width="7.42578125" style="42" hidden="1"/>
    <col min="6171" max="6171" width="7.85546875" style="42" hidden="1"/>
    <col min="6172" max="6172" width="3" style="42" hidden="1"/>
    <col min="6173" max="6173" width="12.140625" style="42" hidden="1"/>
    <col min="6174" max="6175" width="3" style="42" hidden="1"/>
    <col min="6176" max="6176" width="8.140625" style="42" hidden="1"/>
    <col min="6177" max="6177" width="3" style="42" hidden="1"/>
    <col min="6178" max="6178" width="23" style="42" hidden="1"/>
    <col min="6179" max="6400" width="3" style="42" hidden="1"/>
    <col min="6401" max="6401" width="4.5703125" style="42" hidden="1"/>
    <col min="6402" max="6402" width="6.28515625" style="42" hidden="1"/>
    <col min="6403" max="6403" width="16.7109375" style="42" hidden="1"/>
    <col min="6404" max="6404" width="8.5703125" style="42" hidden="1"/>
    <col min="6405" max="6405" width="11.140625" style="42" hidden="1"/>
    <col min="6406" max="6408" width="7.28515625" style="42" hidden="1"/>
    <col min="6409" max="6409" width="8.28515625" style="42" hidden="1"/>
    <col min="6410" max="6410" width="17.7109375" style="42" hidden="1"/>
    <col min="6411" max="6411" width="17.140625" style="42" hidden="1"/>
    <col min="6412" max="6412" width="12.85546875" style="42" hidden="1"/>
    <col min="6413" max="6413" width="11" style="42" hidden="1"/>
    <col min="6414" max="6414" width="11.140625" style="42" hidden="1"/>
    <col min="6415" max="6415" width="12.140625" style="42" hidden="1"/>
    <col min="6416" max="6416" width="9.140625" style="42" hidden="1"/>
    <col min="6417" max="6420" width="9.28515625" style="42" hidden="1"/>
    <col min="6421" max="6423" width="6.28515625" style="42" hidden="1"/>
    <col min="6424" max="6424" width="5.140625" style="42" hidden="1"/>
    <col min="6425" max="6425" width="3" style="42" hidden="1"/>
    <col min="6426" max="6426" width="7.42578125" style="42" hidden="1"/>
    <col min="6427" max="6427" width="7.85546875" style="42" hidden="1"/>
    <col min="6428" max="6428" width="3" style="42" hidden="1"/>
    <col min="6429" max="6429" width="12.140625" style="42" hidden="1"/>
    <col min="6430" max="6431" width="3" style="42" hidden="1"/>
    <col min="6432" max="6432" width="8.140625" style="42" hidden="1"/>
    <col min="6433" max="6433" width="3" style="42" hidden="1"/>
    <col min="6434" max="6434" width="23" style="42" hidden="1"/>
    <col min="6435" max="6656" width="3" style="42" hidden="1"/>
    <col min="6657" max="6657" width="4.5703125" style="42" hidden="1"/>
    <col min="6658" max="6658" width="6.28515625" style="42" hidden="1"/>
    <col min="6659" max="6659" width="16.7109375" style="42" hidden="1"/>
    <col min="6660" max="6660" width="8.5703125" style="42" hidden="1"/>
    <col min="6661" max="6661" width="11.140625" style="42" hidden="1"/>
    <col min="6662" max="6664" width="7.28515625" style="42" hidden="1"/>
    <col min="6665" max="6665" width="8.28515625" style="42" hidden="1"/>
    <col min="6666" max="6666" width="17.7109375" style="42" hidden="1"/>
    <col min="6667" max="6667" width="17.140625" style="42" hidden="1"/>
    <col min="6668" max="6668" width="12.85546875" style="42" hidden="1"/>
    <col min="6669" max="6669" width="11" style="42" hidden="1"/>
    <col min="6670" max="6670" width="11.140625" style="42" hidden="1"/>
    <col min="6671" max="6671" width="12.140625" style="42" hidden="1"/>
    <col min="6672" max="6672" width="9.140625" style="42" hidden="1"/>
    <col min="6673" max="6676" width="9.28515625" style="42" hidden="1"/>
    <col min="6677" max="6679" width="6.28515625" style="42" hidden="1"/>
    <col min="6680" max="6680" width="5.140625" style="42" hidden="1"/>
    <col min="6681" max="6681" width="3" style="42" hidden="1"/>
    <col min="6682" max="6682" width="7.42578125" style="42" hidden="1"/>
    <col min="6683" max="6683" width="7.85546875" style="42" hidden="1"/>
    <col min="6684" max="6684" width="3" style="42" hidden="1"/>
    <col min="6685" max="6685" width="12.140625" style="42" hidden="1"/>
    <col min="6686" max="6687" width="3" style="42" hidden="1"/>
    <col min="6688" max="6688" width="8.140625" style="42" hidden="1"/>
    <col min="6689" max="6689" width="3" style="42" hidden="1"/>
    <col min="6690" max="6690" width="23" style="42" hidden="1"/>
    <col min="6691" max="6912" width="3" style="42" hidden="1"/>
    <col min="6913" max="6913" width="4.5703125" style="42" hidden="1"/>
    <col min="6914" max="6914" width="6.28515625" style="42" hidden="1"/>
    <col min="6915" max="6915" width="16.7109375" style="42" hidden="1"/>
    <col min="6916" max="6916" width="8.5703125" style="42" hidden="1"/>
    <col min="6917" max="6917" width="11.140625" style="42" hidden="1"/>
    <col min="6918" max="6920" width="7.28515625" style="42" hidden="1"/>
    <col min="6921" max="6921" width="8.28515625" style="42" hidden="1"/>
    <col min="6922" max="6922" width="17.7109375" style="42" hidden="1"/>
    <col min="6923" max="6923" width="17.140625" style="42" hidden="1"/>
    <col min="6924" max="6924" width="12.85546875" style="42" hidden="1"/>
    <col min="6925" max="6925" width="11" style="42" hidden="1"/>
    <col min="6926" max="6926" width="11.140625" style="42" hidden="1"/>
    <col min="6927" max="6927" width="12.140625" style="42" hidden="1"/>
    <col min="6928" max="6928" width="9.140625" style="42" hidden="1"/>
    <col min="6929" max="6932" width="9.28515625" style="42" hidden="1"/>
    <col min="6933" max="6935" width="6.28515625" style="42" hidden="1"/>
    <col min="6936" max="6936" width="5.140625" style="42" hidden="1"/>
    <col min="6937" max="6937" width="3" style="42" hidden="1"/>
    <col min="6938" max="6938" width="7.42578125" style="42" hidden="1"/>
    <col min="6939" max="6939" width="7.85546875" style="42" hidden="1"/>
    <col min="6940" max="6940" width="3" style="42" hidden="1"/>
    <col min="6941" max="6941" width="12.140625" style="42" hidden="1"/>
    <col min="6942" max="6943" width="3" style="42" hidden="1"/>
    <col min="6944" max="6944" width="8.140625" style="42" hidden="1"/>
    <col min="6945" max="6945" width="3" style="42" hidden="1"/>
    <col min="6946" max="6946" width="23" style="42" hidden="1"/>
    <col min="6947" max="7168" width="3" style="42" hidden="1"/>
    <col min="7169" max="7169" width="4.5703125" style="42" hidden="1"/>
    <col min="7170" max="7170" width="6.28515625" style="42" hidden="1"/>
    <col min="7171" max="7171" width="16.7109375" style="42" hidden="1"/>
    <col min="7172" max="7172" width="8.5703125" style="42" hidden="1"/>
    <col min="7173" max="7173" width="11.140625" style="42" hidden="1"/>
    <col min="7174" max="7176" width="7.28515625" style="42" hidden="1"/>
    <col min="7177" max="7177" width="8.28515625" style="42" hidden="1"/>
    <col min="7178" max="7178" width="17.7109375" style="42" hidden="1"/>
    <col min="7179" max="7179" width="17.140625" style="42" hidden="1"/>
    <col min="7180" max="7180" width="12.85546875" style="42" hidden="1"/>
    <col min="7181" max="7181" width="11" style="42" hidden="1"/>
    <col min="7182" max="7182" width="11.140625" style="42" hidden="1"/>
    <col min="7183" max="7183" width="12.140625" style="42" hidden="1"/>
    <col min="7184" max="7184" width="9.140625" style="42" hidden="1"/>
    <col min="7185" max="7188" width="9.28515625" style="42" hidden="1"/>
    <col min="7189" max="7191" width="6.28515625" style="42" hidden="1"/>
    <col min="7192" max="7192" width="5.140625" style="42" hidden="1"/>
    <col min="7193" max="7193" width="3" style="42" hidden="1"/>
    <col min="7194" max="7194" width="7.42578125" style="42" hidden="1"/>
    <col min="7195" max="7195" width="7.85546875" style="42" hidden="1"/>
    <col min="7196" max="7196" width="3" style="42" hidden="1"/>
    <col min="7197" max="7197" width="12.140625" style="42" hidden="1"/>
    <col min="7198" max="7199" width="3" style="42" hidden="1"/>
    <col min="7200" max="7200" width="8.140625" style="42" hidden="1"/>
    <col min="7201" max="7201" width="3" style="42" hidden="1"/>
    <col min="7202" max="7202" width="23" style="42" hidden="1"/>
    <col min="7203" max="7424" width="3" style="42" hidden="1"/>
    <col min="7425" max="7425" width="4.5703125" style="42" hidden="1"/>
    <col min="7426" max="7426" width="6.28515625" style="42" hidden="1"/>
    <col min="7427" max="7427" width="16.7109375" style="42" hidden="1"/>
    <col min="7428" max="7428" width="8.5703125" style="42" hidden="1"/>
    <col min="7429" max="7429" width="11.140625" style="42" hidden="1"/>
    <col min="7430" max="7432" width="7.28515625" style="42" hidden="1"/>
    <col min="7433" max="7433" width="8.28515625" style="42" hidden="1"/>
    <col min="7434" max="7434" width="17.7109375" style="42" hidden="1"/>
    <col min="7435" max="7435" width="17.140625" style="42" hidden="1"/>
    <col min="7436" max="7436" width="12.85546875" style="42" hidden="1"/>
    <col min="7437" max="7437" width="11" style="42" hidden="1"/>
    <col min="7438" max="7438" width="11.140625" style="42" hidden="1"/>
    <col min="7439" max="7439" width="12.140625" style="42" hidden="1"/>
    <col min="7440" max="7440" width="9.140625" style="42" hidden="1"/>
    <col min="7441" max="7444" width="9.28515625" style="42" hidden="1"/>
    <col min="7445" max="7447" width="6.28515625" style="42" hidden="1"/>
    <col min="7448" max="7448" width="5.140625" style="42" hidden="1"/>
    <col min="7449" max="7449" width="3" style="42" hidden="1"/>
    <col min="7450" max="7450" width="7.42578125" style="42" hidden="1"/>
    <col min="7451" max="7451" width="7.85546875" style="42" hidden="1"/>
    <col min="7452" max="7452" width="3" style="42" hidden="1"/>
    <col min="7453" max="7453" width="12.140625" style="42" hidden="1"/>
    <col min="7454" max="7455" width="3" style="42" hidden="1"/>
    <col min="7456" max="7456" width="8.140625" style="42" hidden="1"/>
    <col min="7457" max="7457" width="3" style="42" hidden="1"/>
    <col min="7458" max="7458" width="23" style="42" hidden="1"/>
    <col min="7459" max="7680" width="3" style="42" hidden="1"/>
    <col min="7681" max="7681" width="4.5703125" style="42" hidden="1"/>
    <col min="7682" max="7682" width="6.28515625" style="42" hidden="1"/>
    <col min="7683" max="7683" width="16.7109375" style="42" hidden="1"/>
    <col min="7684" max="7684" width="8.5703125" style="42" hidden="1"/>
    <col min="7685" max="7685" width="11.140625" style="42" hidden="1"/>
    <col min="7686" max="7688" width="7.28515625" style="42" hidden="1"/>
    <col min="7689" max="7689" width="8.28515625" style="42" hidden="1"/>
    <col min="7690" max="7690" width="17.7109375" style="42" hidden="1"/>
    <col min="7691" max="7691" width="17.140625" style="42" hidden="1"/>
    <col min="7692" max="7692" width="12.85546875" style="42" hidden="1"/>
    <col min="7693" max="7693" width="11" style="42" hidden="1"/>
    <col min="7694" max="7694" width="11.140625" style="42" hidden="1"/>
    <col min="7695" max="7695" width="12.140625" style="42" hidden="1"/>
    <col min="7696" max="7696" width="9.140625" style="42" hidden="1"/>
    <col min="7697" max="7700" width="9.28515625" style="42" hidden="1"/>
    <col min="7701" max="7703" width="6.28515625" style="42" hidden="1"/>
    <col min="7704" max="7704" width="5.140625" style="42" hidden="1"/>
    <col min="7705" max="7705" width="3" style="42" hidden="1"/>
    <col min="7706" max="7706" width="7.42578125" style="42" hidden="1"/>
    <col min="7707" max="7707" width="7.85546875" style="42" hidden="1"/>
    <col min="7708" max="7708" width="3" style="42" hidden="1"/>
    <col min="7709" max="7709" width="12.140625" style="42" hidden="1"/>
    <col min="7710" max="7711" width="3" style="42" hidden="1"/>
    <col min="7712" max="7712" width="8.140625" style="42" hidden="1"/>
    <col min="7713" max="7713" width="3" style="42" hidden="1"/>
    <col min="7714" max="7714" width="23" style="42" hidden="1"/>
    <col min="7715" max="7936" width="3" style="42" hidden="1"/>
    <col min="7937" max="7937" width="4.5703125" style="42" hidden="1"/>
    <col min="7938" max="7938" width="6.28515625" style="42" hidden="1"/>
    <col min="7939" max="7939" width="16.7109375" style="42" hidden="1"/>
    <col min="7940" max="7940" width="8.5703125" style="42" hidden="1"/>
    <col min="7941" max="7941" width="11.140625" style="42" hidden="1"/>
    <col min="7942" max="7944" width="7.28515625" style="42" hidden="1"/>
    <col min="7945" max="7945" width="8.28515625" style="42" hidden="1"/>
    <col min="7946" max="7946" width="17.7109375" style="42" hidden="1"/>
    <col min="7947" max="7947" width="17.140625" style="42" hidden="1"/>
    <col min="7948" max="7948" width="12.85546875" style="42" hidden="1"/>
    <col min="7949" max="7949" width="11" style="42" hidden="1"/>
    <col min="7950" max="7950" width="11.140625" style="42" hidden="1"/>
    <col min="7951" max="7951" width="12.140625" style="42" hidden="1"/>
    <col min="7952" max="7952" width="9.140625" style="42" hidden="1"/>
    <col min="7953" max="7956" width="9.28515625" style="42" hidden="1"/>
    <col min="7957" max="7959" width="6.28515625" style="42" hidden="1"/>
    <col min="7960" max="7960" width="5.140625" style="42" hidden="1"/>
    <col min="7961" max="7961" width="3" style="42" hidden="1"/>
    <col min="7962" max="7962" width="7.42578125" style="42" hidden="1"/>
    <col min="7963" max="7963" width="7.85546875" style="42" hidden="1"/>
    <col min="7964" max="7964" width="3" style="42" hidden="1"/>
    <col min="7965" max="7965" width="12.140625" style="42" hidden="1"/>
    <col min="7966" max="7967" width="3" style="42" hidden="1"/>
    <col min="7968" max="7968" width="8.140625" style="42" hidden="1"/>
    <col min="7969" max="7969" width="3" style="42" hidden="1"/>
    <col min="7970" max="7970" width="23" style="42" hidden="1"/>
    <col min="7971" max="8192" width="3" style="42" hidden="1"/>
    <col min="8193" max="8193" width="4.5703125" style="42" hidden="1"/>
    <col min="8194" max="8194" width="6.28515625" style="42" hidden="1"/>
    <col min="8195" max="8195" width="16.7109375" style="42" hidden="1"/>
    <col min="8196" max="8196" width="8.5703125" style="42" hidden="1"/>
    <col min="8197" max="8197" width="11.140625" style="42" hidden="1"/>
    <col min="8198" max="8200" width="7.28515625" style="42" hidden="1"/>
    <col min="8201" max="8201" width="8.28515625" style="42" hidden="1"/>
    <col min="8202" max="8202" width="17.7109375" style="42" hidden="1"/>
    <col min="8203" max="8203" width="17.140625" style="42" hidden="1"/>
    <col min="8204" max="8204" width="12.85546875" style="42" hidden="1"/>
    <col min="8205" max="8205" width="11" style="42" hidden="1"/>
    <col min="8206" max="8206" width="11.140625" style="42" hidden="1"/>
    <col min="8207" max="8207" width="12.140625" style="42" hidden="1"/>
    <col min="8208" max="8208" width="9.140625" style="42" hidden="1"/>
    <col min="8209" max="8212" width="9.28515625" style="42" hidden="1"/>
    <col min="8213" max="8215" width="6.28515625" style="42" hidden="1"/>
    <col min="8216" max="8216" width="5.140625" style="42" hidden="1"/>
    <col min="8217" max="8217" width="3" style="42" hidden="1"/>
    <col min="8218" max="8218" width="7.42578125" style="42" hidden="1"/>
    <col min="8219" max="8219" width="7.85546875" style="42" hidden="1"/>
    <col min="8220" max="8220" width="3" style="42" hidden="1"/>
    <col min="8221" max="8221" width="12.140625" style="42" hidden="1"/>
    <col min="8222" max="8223" width="3" style="42" hidden="1"/>
    <col min="8224" max="8224" width="8.140625" style="42" hidden="1"/>
    <col min="8225" max="8225" width="3" style="42" hidden="1"/>
    <col min="8226" max="8226" width="23" style="42" hidden="1"/>
    <col min="8227" max="8448" width="3" style="42" hidden="1"/>
    <col min="8449" max="8449" width="4.5703125" style="42" hidden="1"/>
    <col min="8450" max="8450" width="6.28515625" style="42" hidden="1"/>
    <col min="8451" max="8451" width="16.7109375" style="42" hidden="1"/>
    <col min="8452" max="8452" width="8.5703125" style="42" hidden="1"/>
    <col min="8453" max="8453" width="11.140625" style="42" hidden="1"/>
    <col min="8454" max="8456" width="7.28515625" style="42" hidden="1"/>
    <col min="8457" max="8457" width="8.28515625" style="42" hidden="1"/>
    <col min="8458" max="8458" width="17.7109375" style="42" hidden="1"/>
    <col min="8459" max="8459" width="17.140625" style="42" hidden="1"/>
    <col min="8460" max="8460" width="12.85546875" style="42" hidden="1"/>
    <col min="8461" max="8461" width="11" style="42" hidden="1"/>
    <col min="8462" max="8462" width="11.140625" style="42" hidden="1"/>
    <col min="8463" max="8463" width="12.140625" style="42" hidden="1"/>
    <col min="8464" max="8464" width="9.140625" style="42" hidden="1"/>
    <col min="8465" max="8468" width="9.28515625" style="42" hidden="1"/>
    <col min="8469" max="8471" width="6.28515625" style="42" hidden="1"/>
    <col min="8472" max="8472" width="5.140625" style="42" hidden="1"/>
    <col min="8473" max="8473" width="3" style="42" hidden="1"/>
    <col min="8474" max="8474" width="7.42578125" style="42" hidden="1"/>
    <col min="8475" max="8475" width="7.85546875" style="42" hidden="1"/>
    <col min="8476" max="8476" width="3" style="42" hidden="1"/>
    <col min="8477" max="8477" width="12.140625" style="42" hidden="1"/>
    <col min="8478" max="8479" width="3" style="42" hidden="1"/>
    <col min="8480" max="8480" width="8.140625" style="42" hidden="1"/>
    <col min="8481" max="8481" width="3" style="42" hidden="1"/>
    <col min="8482" max="8482" width="23" style="42" hidden="1"/>
    <col min="8483" max="8704" width="3" style="42" hidden="1"/>
    <col min="8705" max="8705" width="4.5703125" style="42" hidden="1"/>
    <col min="8706" max="8706" width="6.28515625" style="42" hidden="1"/>
    <col min="8707" max="8707" width="16.7109375" style="42" hidden="1"/>
    <col min="8708" max="8708" width="8.5703125" style="42" hidden="1"/>
    <col min="8709" max="8709" width="11.140625" style="42" hidden="1"/>
    <col min="8710" max="8712" width="7.28515625" style="42" hidden="1"/>
    <col min="8713" max="8713" width="8.28515625" style="42" hidden="1"/>
    <col min="8714" max="8714" width="17.7109375" style="42" hidden="1"/>
    <col min="8715" max="8715" width="17.140625" style="42" hidden="1"/>
    <col min="8716" max="8716" width="12.85546875" style="42" hidden="1"/>
    <col min="8717" max="8717" width="11" style="42" hidden="1"/>
    <col min="8718" max="8718" width="11.140625" style="42" hidden="1"/>
    <col min="8719" max="8719" width="12.140625" style="42" hidden="1"/>
    <col min="8720" max="8720" width="9.140625" style="42" hidden="1"/>
    <col min="8721" max="8724" width="9.28515625" style="42" hidden="1"/>
    <col min="8725" max="8727" width="6.28515625" style="42" hidden="1"/>
    <col min="8728" max="8728" width="5.140625" style="42" hidden="1"/>
    <col min="8729" max="8729" width="3" style="42" hidden="1"/>
    <col min="8730" max="8730" width="7.42578125" style="42" hidden="1"/>
    <col min="8731" max="8731" width="7.85546875" style="42" hidden="1"/>
    <col min="8732" max="8732" width="3" style="42" hidden="1"/>
    <col min="8733" max="8733" width="12.140625" style="42" hidden="1"/>
    <col min="8734" max="8735" width="3" style="42" hidden="1"/>
    <col min="8736" max="8736" width="8.140625" style="42" hidden="1"/>
    <col min="8737" max="8737" width="3" style="42" hidden="1"/>
    <col min="8738" max="8738" width="23" style="42" hidden="1"/>
    <col min="8739" max="8960" width="3" style="42" hidden="1"/>
    <col min="8961" max="8961" width="4.5703125" style="42" hidden="1"/>
    <col min="8962" max="8962" width="6.28515625" style="42" hidden="1"/>
    <col min="8963" max="8963" width="16.7109375" style="42" hidden="1"/>
    <col min="8964" max="8964" width="8.5703125" style="42" hidden="1"/>
    <col min="8965" max="8965" width="11.140625" style="42" hidden="1"/>
    <col min="8966" max="8968" width="7.28515625" style="42" hidden="1"/>
    <col min="8969" max="8969" width="8.28515625" style="42" hidden="1"/>
    <col min="8970" max="8970" width="17.7109375" style="42" hidden="1"/>
    <col min="8971" max="8971" width="17.140625" style="42" hidden="1"/>
    <col min="8972" max="8972" width="12.85546875" style="42" hidden="1"/>
    <col min="8973" max="8973" width="11" style="42" hidden="1"/>
    <col min="8974" max="8974" width="11.140625" style="42" hidden="1"/>
    <col min="8975" max="8975" width="12.140625" style="42" hidden="1"/>
    <col min="8976" max="8976" width="9.140625" style="42" hidden="1"/>
    <col min="8977" max="8980" width="9.28515625" style="42" hidden="1"/>
    <col min="8981" max="8983" width="6.28515625" style="42" hidden="1"/>
    <col min="8984" max="8984" width="5.140625" style="42" hidden="1"/>
    <col min="8985" max="8985" width="3" style="42" hidden="1"/>
    <col min="8986" max="8986" width="7.42578125" style="42" hidden="1"/>
    <col min="8987" max="8987" width="7.85546875" style="42" hidden="1"/>
    <col min="8988" max="8988" width="3" style="42" hidden="1"/>
    <col min="8989" max="8989" width="12.140625" style="42" hidden="1"/>
    <col min="8990" max="8991" width="3" style="42" hidden="1"/>
    <col min="8992" max="8992" width="8.140625" style="42" hidden="1"/>
    <col min="8993" max="8993" width="3" style="42" hidden="1"/>
    <col min="8994" max="8994" width="23" style="42" hidden="1"/>
    <col min="8995" max="9216" width="3" style="42" hidden="1"/>
    <col min="9217" max="9217" width="4.5703125" style="42" hidden="1"/>
    <col min="9218" max="9218" width="6.28515625" style="42" hidden="1"/>
    <col min="9219" max="9219" width="16.7109375" style="42" hidden="1"/>
    <col min="9220" max="9220" width="8.5703125" style="42" hidden="1"/>
    <col min="9221" max="9221" width="11.140625" style="42" hidden="1"/>
    <col min="9222" max="9224" width="7.28515625" style="42" hidden="1"/>
    <col min="9225" max="9225" width="8.28515625" style="42" hidden="1"/>
    <col min="9226" max="9226" width="17.7109375" style="42" hidden="1"/>
    <col min="9227" max="9227" width="17.140625" style="42" hidden="1"/>
    <col min="9228" max="9228" width="12.85546875" style="42" hidden="1"/>
    <col min="9229" max="9229" width="11" style="42" hidden="1"/>
    <col min="9230" max="9230" width="11.140625" style="42" hidden="1"/>
    <col min="9231" max="9231" width="12.140625" style="42" hidden="1"/>
    <col min="9232" max="9232" width="9.140625" style="42" hidden="1"/>
    <col min="9233" max="9236" width="9.28515625" style="42" hidden="1"/>
    <col min="9237" max="9239" width="6.28515625" style="42" hidden="1"/>
    <col min="9240" max="9240" width="5.140625" style="42" hidden="1"/>
    <col min="9241" max="9241" width="3" style="42" hidden="1"/>
    <col min="9242" max="9242" width="7.42578125" style="42" hidden="1"/>
    <col min="9243" max="9243" width="7.85546875" style="42" hidden="1"/>
    <col min="9244" max="9244" width="3" style="42" hidden="1"/>
    <col min="9245" max="9245" width="12.140625" style="42" hidden="1"/>
    <col min="9246" max="9247" width="3" style="42" hidden="1"/>
    <col min="9248" max="9248" width="8.140625" style="42" hidden="1"/>
    <col min="9249" max="9249" width="3" style="42" hidden="1"/>
    <col min="9250" max="9250" width="23" style="42" hidden="1"/>
    <col min="9251" max="9472" width="3" style="42" hidden="1"/>
    <col min="9473" max="9473" width="4.5703125" style="42" hidden="1"/>
    <col min="9474" max="9474" width="6.28515625" style="42" hidden="1"/>
    <col min="9475" max="9475" width="16.7109375" style="42" hidden="1"/>
    <col min="9476" max="9476" width="8.5703125" style="42" hidden="1"/>
    <col min="9477" max="9477" width="11.140625" style="42" hidden="1"/>
    <col min="9478" max="9480" width="7.28515625" style="42" hidden="1"/>
    <col min="9481" max="9481" width="8.28515625" style="42" hidden="1"/>
    <col min="9482" max="9482" width="17.7109375" style="42" hidden="1"/>
    <col min="9483" max="9483" width="17.140625" style="42" hidden="1"/>
    <col min="9484" max="9484" width="12.85546875" style="42" hidden="1"/>
    <col min="9485" max="9485" width="11" style="42" hidden="1"/>
    <col min="9486" max="9486" width="11.140625" style="42" hidden="1"/>
    <col min="9487" max="9487" width="12.140625" style="42" hidden="1"/>
    <col min="9488" max="9488" width="9.140625" style="42" hidden="1"/>
    <col min="9489" max="9492" width="9.28515625" style="42" hidden="1"/>
    <col min="9493" max="9495" width="6.28515625" style="42" hidden="1"/>
    <col min="9496" max="9496" width="5.140625" style="42" hidden="1"/>
    <col min="9497" max="9497" width="3" style="42" hidden="1"/>
    <col min="9498" max="9498" width="7.42578125" style="42" hidden="1"/>
    <col min="9499" max="9499" width="7.85546875" style="42" hidden="1"/>
    <col min="9500" max="9500" width="3" style="42" hidden="1"/>
    <col min="9501" max="9501" width="12.140625" style="42" hidden="1"/>
    <col min="9502" max="9503" width="3" style="42" hidden="1"/>
    <col min="9504" max="9504" width="8.140625" style="42" hidden="1"/>
    <col min="9505" max="9505" width="3" style="42" hidden="1"/>
    <col min="9506" max="9506" width="23" style="42" hidden="1"/>
    <col min="9507" max="9728" width="3" style="42" hidden="1"/>
    <col min="9729" max="9729" width="4.5703125" style="42" hidden="1"/>
    <col min="9730" max="9730" width="6.28515625" style="42" hidden="1"/>
    <col min="9731" max="9731" width="16.7109375" style="42" hidden="1"/>
    <col min="9732" max="9732" width="8.5703125" style="42" hidden="1"/>
    <col min="9733" max="9733" width="11.140625" style="42" hidden="1"/>
    <col min="9734" max="9736" width="7.28515625" style="42" hidden="1"/>
    <col min="9737" max="9737" width="8.28515625" style="42" hidden="1"/>
    <col min="9738" max="9738" width="17.7109375" style="42" hidden="1"/>
    <col min="9739" max="9739" width="17.140625" style="42" hidden="1"/>
    <col min="9740" max="9740" width="12.85546875" style="42" hidden="1"/>
    <col min="9741" max="9741" width="11" style="42" hidden="1"/>
    <col min="9742" max="9742" width="11.140625" style="42" hidden="1"/>
    <col min="9743" max="9743" width="12.140625" style="42" hidden="1"/>
    <col min="9744" max="9744" width="9.140625" style="42" hidden="1"/>
    <col min="9745" max="9748" width="9.28515625" style="42" hidden="1"/>
    <col min="9749" max="9751" width="6.28515625" style="42" hidden="1"/>
    <col min="9752" max="9752" width="5.140625" style="42" hidden="1"/>
    <col min="9753" max="9753" width="3" style="42" hidden="1"/>
    <col min="9754" max="9754" width="7.42578125" style="42" hidden="1"/>
    <col min="9755" max="9755" width="7.85546875" style="42" hidden="1"/>
    <col min="9756" max="9756" width="3" style="42" hidden="1"/>
    <col min="9757" max="9757" width="12.140625" style="42" hidden="1"/>
    <col min="9758" max="9759" width="3" style="42" hidden="1"/>
    <col min="9760" max="9760" width="8.140625" style="42" hidden="1"/>
    <col min="9761" max="9761" width="3" style="42" hidden="1"/>
    <col min="9762" max="9762" width="23" style="42" hidden="1"/>
    <col min="9763" max="9984" width="3" style="42" hidden="1"/>
    <col min="9985" max="9985" width="4.5703125" style="42" hidden="1"/>
    <col min="9986" max="9986" width="6.28515625" style="42" hidden="1"/>
    <col min="9987" max="9987" width="16.7109375" style="42" hidden="1"/>
    <col min="9988" max="9988" width="8.5703125" style="42" hidden="1"/>
    <col min="9989" max="9989" width="11.140625" style="42" hidden="1"/>
    <col min="9990" max="9992" width="7.28515625" style="42" hidden="1"/>
    <col min="9993" max="9993" width="8.28515625" style="42" hidden="1"/>
    <col min="9994" max="9994" width="17.7109375" style="42" hidden="1"/>
    <col min="9995" max="9995" width="17.140625" style="42" hidden="1"/>
    <col min="9996" max="9996" width="12.85546875" style="42" hidden="1"/>
    <col min="9997" max="9997" width="11" style="42" hidden="1"/>
    <col min="9998" max="9998" width="11.140625" style="42" hidden="1"/>
    <col min="9999" max="9999" width="12.140625" style="42" hidden="1"/>
    <col min="10000" max="10000" width="9.140625" style="42" hidden="1"/>
    <col min="10001" max="10004" width="9.28515625" style="42" hidden="1"/>
    <col min="10005" max="10007" width="6.28515625" style="42" hidden="1"/>
    <col min="10008" max="10008" width="5.140625" style="42" hidden="1"/>
    <col min="10009" max="10009" width="3" style="42" hidden="1"/>
    <col min="10010" max="10010" width="7.42578125" style="42" hidden="1"/>
    <col min="10011" max="10011" width="7.85546875" style="42" hidden="1"/>
    <col min="10012" max="10012" width="3" style="42" hidden="1"/>
    <col min="10013" max="10013" width="12.140625" style="42" hidden="1"/>
    <col min="10014" max="10015" width="3" style="42" hidden="1"/>
    <col min="10016" max="10016" width="8.140625" style="42" hidden="1"/>
    <col min="10017" max="10017" width="3" style="42" hidden="1"/>
    <col min="10018" max="10018" width="23" style="42" hidden="1"/>
    <col min="10019" max="10240" width="3" style="42" hidden="1"/>
    <col min="10241" max="10241" width="4.5703125" style="42" hidden="1"/>
    <col min="10242" max="10242" width="6.28515625" style="42" hidden="1"/>
    <col min="10243" max="10243" width="16.7109375" style="42" hidden="1"/>
    <col min="10244" max="10244" width="8.5703125" style="42" hidden="1"/>
    <col min="10245" max="10245" width="11.140625" style="42" hidden="1"/>
    <col min="10246" max="10248" width="7.28515625" style="42" hidden="1"/>
    <col min="10249" max="10249" width="8.28515625" style="42" hidden="1"/>
    <col min="10250" max="10250" width="17.7109375" style="42" hidden="1"/>
    <col min="10251" max="10251" width="17.140625" style="42" hidden="1"/>
    <col min="10252" max="10252" width="12.85546875" style="42" hidden="1"/>
    <col min="10253" max="10253" width="11" style="42" hidden="1"/>
    <col min="10254" max="10254" width="11.140625" style="42" hidden="1"/>
    <col min="10255" max="10255" width="12.140625" style="42" hidden="1"/>
    <col min="10256" max="10256" width="9.140625" style="42" hidden="1"/>
    <col min="10257" max="10260" width="9.28515625" style="42" hidden="1"/>
    <col min="10261" max="10263" width="6.28515625" style="42" hidden="1"/>
    <col min="10264" max="10264" width="5.140625" style="42" hidden="1"/>
    <col min="10265" max="10265" width="3" style="42" hidden="1"/>
    <col min="10266" max="10266" width="7.42578125" style="42" hidden="1"/>
    <col min="10267" max="10267" width="7.85546875" style="42" hidden="1"/>
    <col min="10268" max="10268" width="3" style="42" hidden="1"/>
    <col min="10269" max="10269" width="12.140625" style="42" hidden="1"/>
    <col min="10270" max="10271" width="3" style="42" hidden="1"/>
    <col min="10272" max="10272" width="8.140625" style="42" hidden="1"/>
    <col min="10273" max="10273" width="3" style="42" hidden="1"/>
    <col min="10274" max="10274" width="23" style="42" hidden="1"/>
    <col min="10275" max="10496" width="3" style="42" hidden="1"/>
    <col min="10497" max="10497" width="4.5703125" style="42" hidden="1"/>
    <col min="10498" max="10498" width="6.28515625" style="42" hidden="1"/>
    <col min="10499" max="10499" width="16.7109375" style="42" hidden="1"/>
    <col min="10500" max="10500" width="8.5703125" style="42" hidden="1"/>
    <col min="10501" max="10501" width="11.140625" style="42" hidden="1"/>
    <col min="10502" max="10504" width="7.28515625" style="42" hidden="1"/>
    <col min="10505" max="10505" width="8.28515625" style="42" hidden="1"/>
    <col min="10506" max="10506" width="17.7109375" style="42" hidden="1"/>
    <col min="10507" max="10507" width="17.140625" style="42" hidden="1"/>
    <col min="10508" max="10508" width="12.85546875" style="42" hidden="1"/>
    <col min="10509" max="10509" width="11" style="42" hidden="1"/>
    <col min="10510" max="10510" width="11.140625" style="42" hidden="1"/>
    <col min="10511" max="10511" width="12.140625" style="42" hidden="1"/>
    <col min="10512" max="10512" width="9.140625" style="42" hidden="1"/>
    <col min="10513" max="10516" width="9.28515625" style="42" hidden="1"/>
    <col min="10517" max="10519" width="6.28515625" style="42" hidden="1"/>
    <col min="10520" max="10520" width="5.140625" style="42" hidden="1"/>
    <col min="10521" max="10521" width="3" style="42" hidden="1"/>
    <col min="10522" max="10522" width="7.42578125" style="42" hidden="1"/>
    <col min="10523" max="10523" width="7.85546875" style="42" hidden="1"/>
    <col min="10524" max="10524" width="3" style="42" hidden="1"/>
    <col min="10525" max="10525" width="12.140625" style="42" hidden="1"/>
    <col min="10526" max="10527" width="3" style="42" hidden="1"/>
    <col min="10528" max="10528" width="8.140625" style="42" hidden="1"/>
    <col min="10529" max="10529" width="3" style="42" hidden="1"/>
    <col min="10530" max="10530" width="23" style="42" hidden="1"/>
    <col min="10531" max="10752" width="3" style="42" hidden="1"/>
    <col min="10753" max="10753" width="4.5703125" style="42" hidden="1"/>
    <col min="10754" max="10754" width="6.28515625" style="42" hidden="1"/>
    <col min="10755" max="10755" width="16.7109375" style="42" hidden="1"/>
    <col min="10756" max="10756" width="8.5703125" style="42" hidden="1"/>
    <col min="10757" max="10757" width="11.140625" style="42" hidden="1"/>
    <col min="10758" max="10760" width="7.28515625" style="42" hidden="1"/>
    <col min="10761" max="10761" width="8.28515625" style="42" hidden="1"/>
    <col min="10762" max="10762" width="17.7109375" style="42" hidden="1"/>
    <col min="10763" max="10763" width="17.140625" style="42" hidden="1"/>
    <col min="10764" max="10764" width="12.85546875" style="42" hidden="1"/>
    <col min="10765" max="10765" width="11" style="42" hidden="1"/>
    <col min="10766" max="10766" width="11.140625" style="42" hidden="1"/>
    <col min="10767" max="10767" width="12.140625" style="42" hidden="1"/>
    <col min="10768" max="10768" width="9.140625" style="42" hidden="1"/>
    <col min="10769" max="10772" width="9.28515625" style="42" hidden="1"/>
    <col min="10773" max="10775" width="6.28515625" style="42" hidden="1"/>
    <col min="10776" max="10776" width="5.140625" style="42" hidden="1"/>
    <col min="10777" max="10777" width="3" style="42" hidden="1"/>
    <col min="10778" max="10778" width="7.42578125" style="42" hidden="1"/>
    <col min="10779" max="10779" width="7.85546875" style="42" hidden="1"/>
    <col min="10780" max="10780" width="3" style="42" hidden="1"/>
    <col min="10781" max="10781" width="12.140625" style="42" hidden="1"/>
    <col min="10782" max="10783" width="3" style="42" hidden="1"/>
    <col min="10784" max="10784" width="8.140625" style="42" hidden="1"/>
    <col min="10785" max="10785" width="3" style="42" hidden="1"/>
    <col min="10786" max="10786" width="23" style="42" hidden="1"/>
    <col min="10787" max="11008" width="3" style="42" hidden="1"/>
    <col min="11009" max="11009" width="4.5703125" style="42" hidden="1"/>
    <col min="11010" max="11010" width="6.28515625" style="42" hidden="1"/>
    <col min="11011" max="11011" width="16.7109375" style="42" hidden="1"/>
    <col min="11012" max="11012" width="8.5703125" style="42" hidden="1"/>
    <col min="11013" max="11013" width="11.140625" style="42" hidden="1"/>
    <col min="11014" max="11016" width="7.28515625" style="42" hidden="1"/>
    <col min="11017" max="11017" width="8.28515625" style="42" hidden="1"/>
    <col min="11018" max="11018" width="17.7109375" style="42" hidden="1"/>
    <col min="11019" max="11019" width="17.140625" style="42" hidden="1"/>
    <col min="11020" max="11020" width="12.85546875" style="42" hidden="1"/>
    <col min="11021" max="11021" width="11" style="42" hidden="1"/>
    <col min="11022" max="11022" width="11.140625" style="42" hidden="1"/>
    <col min="11023" max="11023" width="12.140625" style="42" hidden="1"/>
    <col min="11024" max="11024" width="9.140625" style="42" hidden="1"/>
    <col min="11025" max="11028" width="9.28515625" style="42" hidden="1"/>
    <col min="11029" max="11031" width="6.28515625" style="42" hidden="1"/>
    <col min="11032" max="11032" width="5.140625" style="42" hidden="1"/>
    <col min="11033" max="11033" width="3" style="42" hidden="1"/>
    <col min="11034" max="11034" width="7.42578125" style="42" hidden="1"/>
    <col min="11035" max="11035" width="7.85546875" style="42" hidden="1"/>
    <col min="11036" max="11036" width="3" style="42" hidden="1"/>
    <col min="11037" max="11037" width="12.140625" style="42" hidden="1"/>
    <col min="11038" max="11039" width="3" style="42" hidden="1"/>
    <col min="11040" max="11040" width="8.140625" style="42" hidden="1"/>
    <col min="11041" max="11041" width="3" style="42" hidden="1"/>
    <col min="11042" max="11042" width="23" style="42" hidden="1"/>
    <col min="11043" max="11264" width="3" style="42" hidden="1"/>
    <col min="11265" max="11265" width="4.5703125" style="42" hidden="1"/>
    <col min="11266" max="11266" width="6.28515625" style="42" hidden="1"/>
    <col min="11267" max="11267" width="16.7109375" style="42" hidden="1"/>
    <col min="11268" max="11268" width="8.5703125" style="42" hidden="1"/>
    <col min="11269" max="11269" width="11.140625" style="42" hidden="1"/>
    <col min="11270" max="11272" width="7.28515625" style="42" hidden="1"/>
    <col min="11273" max="11273" width="8.28515625" style="42" hidden="1"/>
    <col min="11274" max="11274" width="17.7109375" style="42" hidden="1"/>
    <col min="11275" max="11275" width="17.140625" style="42" hidden="1"/>
    <col min="11276" max="11276" width="12.85546875" style="42" hidden="1"/>
    <col min="11277" max="11277" width="11" style="42" hidden="1"/>
    <col min="11278" max="11278" width="11.140625" style="42" hidden="1"/>
    <col min="11279" max="11279" width="12.140625" style="42" hidden="1"/>
    <col min="11280" max="11280" width="9.140625" style="42" hidden="1"/>
    <col min="11281" max="11284" width="9.28515625" style="42" hidden="1"/>
    <col min="11285" max="11287" width="6.28515625" style="42" hidden="1"/>
    <col min="11288" max="11288" width="5.140625" style="42" hidden="1"/>
    <col min="11289" max="11289" width="3" style="42" hidden="1"/>
    <col min="11290" max="11290" width="7.42578125" style="42" hidden="1"/>
    <col min="11291" max="11291" width="7.85546875" style="42" hidden="1"/>
    <col min="11292" max="11292" width="3" style="42" hidden="1"/>
    <col min="11293" max="11293" width="12.140625" style="42" hidden="1"/>
    <col min="11294" max="11295" width="3" style="42" hidden="1"/>
    <col min="11296" max="11296" width="8.140625" style="42" hidden="1"/>
    <col min="11297" max="11297" width="3" style="42" hidden="1"/>
    <col min="11298" max="11298" width="23" style="42" hidden="1"/>
    <col min="11299" max="11520" width="3" style="42" hidden="1"/>
    <col min="11521" max="11521" width="4.5703125" style="42" hidden="1"/>
    <col min="11522" max="11522" width="6.28515625" style="42" hidden="1"/>
    <col min="11523" max="11523" width="16.7109375" style="42" hidden="1"/>
    <col min="11524" max="11524" width="8.5703125" style="42" hidden="1"/>
    <col min="11525" max="11525" width="11.140625" style="42" hidden="1"/>
    <col min="11526" max="11528" width="7.28515625" style="42" hidden="1"/>
    <col min="11529" max="11529" width="8.28515625" style="42" hidden="1"/>
    <col min="11530" max="11530" width="17.7109375" style="42" hidden="1"/>
    <col min="11531" max="11531" width="17.140625" style="42" hidden="1"/>
    <col min="11532" max="11532" width="12.85546875" style="42" hidden="1"/>
    <col min="11533" max="11533" width="11" style="42" hidden="1"/>
    <col min="11534" max="11534" width="11.140625" style="42" hidden="1"/>
    <col min="11535" max="11535" width="12.140625" style="42" hidden="1"/>
    <col min="11536" max="11536" width="9.140625" style="42" hidden="1"/>
    <col min="11537" max="11540" width="9.28515625" style="42" hidden="1"/>
    <col min="11541" max="11543" width="6.28515625" style="42" hidden="1"/>
    <col min="11544" max="11544" width="5.140625" style="42" hidden="1"/>
    <col min="11545" max="11545" width="3" style="42" hidden="1"/>
    <col min="11546" max="11546" width="7.42578125" style="42" hidden="1"/>
    <col min="11547" max="11547" width="7.85546875" style="42" hidden="1"/>
    <col min="11548" max="11548" width="3" style="42" hidden="1"/>
    <col min="11549" max="11549" width="12.140625" style="42" hidden="1"/>
    <col min="11550" max="11551" width="3" style="42" hidden="1"/>
    <col min="11552" max="11552" width="8.140625" style="42" hidden="1"/>
    <col min="11553" max="11553" width="3" style="42" hidden="1"/>
    <col min="11554" max="11554" width="23" style="42" hidden="1"/>
    <col min="11555" max="11776" width="3" style="42" hidden="1"/>
    <col min="11777" max="11777" width="4.5703125" style="42" hidden="1"/>
    <col min="11778" max="11778" width="6.28515625" style="42" hidden="1"/>
    <col min="11779" max="11779" width="16.7109375" style="42" hidden="1"/>
    <col min="11780" max="11780" width="8.5703125" style="42" hidden="1"/>
    <col min="11781" max="11781" width="11.140625" style="42" hidden="1"/>
    <col min="11782" max="11784" width="7.28515625" style="42" hidden="1"/>
    <col min="11785" max="11785" width="8.28515625" style="42" hidden="1"/>
    <col min="11786" max="11786" width="17.7109375" style="42" hidden="1"/>
    <col min="11787" max="11787" width="17.140625" style="42" hidden="1"/>
    <col min="11788" max="11788" width="12.85546875" style="42" hidden="1"/>
    <col min="11789" max="11789" width="11" style="42" hidden="1"/>
    <col min="11790" max="11790" width="11.140625" style="42" hidden="1"/>
    <col min="11791" max="11791" width="12.140625" style="42" hidden="1"/>
    <col min="11792" max="11792" width="9.140625" style="42" hidden="1"/>
    <col min="11793" max="11796" width="9.28515625" style="42" hidden="1"/>
    <col min="11797" max="11799" width="6.28515625" style="42" hidden="1"/>
    <col min="11800" max="11800" width="5.140625" style="42" hidden="1"/>
    <col min="11801" max="11801" width="3" style="42" hidden="1"/>
    <col min="11802" max="11802" width="7.42578125" style="42" hidden="1"/>
    <col min="11803" max="11803" width="7.85546875" style="42" hidden="1"/>
    <col min="11804" max="11804" width="3" style="42" hidden="1"/>
    <col min="11805" max="11805" width="12.140625" style="42" hidden="1"/>
    <col min="11806" max="11807" width="3" style="42" hidden="1"/>
    <col min="11808" max="11808" width="8.140625" style="42" hidden="1"/>
    <col min="11809" max="11809" width="3" style="42" hidden="1"/>
    <col min="11810" max="11810" width="23" style="42" hidden="1"/>
    <col min="11811" max="12032" width="3" style="42" hidden="1"/>
    <col min="12033" max="12033" width="4.5703125" style="42" hidden="1"/>
    <col min="12034" max="12034" width="6.28515625" style="42" hidden="1"/>
    <col min="12035" max="12035" width="16.7109375" style="42" hidden="1"/>
    <col min="12036" max="12036" width="8.5703125" style="42" hidden="1"/>
    <col min="12037" max="12037" width="11.140625" style="42" hidden="1"/>
    <col min="12038" max="12040" width="7.28515625" style="42" hidden="1"/>
    <col min="12041" max="12041" width="8.28515625" style="42" hidden="1"/>
    <col min="12042" max="12042" width="17.7109375" style="42" hidden="1"/>
    <col min="12043" max="12043" width="17.140625" style="42" hidden="1"/>
    <col min="12044" max="12044" width="12.85546875" style="42" hidden="1"/>
    <col min="12045" max="12045" width="11" style="42" hidden="1"/>
    <col min="12046" max="12046" width="11.140625" style="42" hidden="1"/>
    <col min="12047" max="12047" width="12.140625" style="42" hidden="1"/>
    <col min="12048" max="12048" width="9.140625" style="42" hidden="1"/>
    <col min="12049" max="12052" width="9.28515625" style="42" hidden="1"/>
    <col min="12053" max="12055" width="6.28515625" style="42" hidden="1"/>
    <col min="12056" max="12056" width="5.140625" style="42" hidden="1"/>
    <col min="12057" max="12057" width="3" style="42" hidden="1"/>
    <col min="12058" max="12058" width="7.42578125" style="42" hidden="1"/>
    <col min="12059" max="12059" width="7.85546875" style="42" hidden="1"/>
    <col min="12060" max="12060" width="3" style="42" hidden="1"/>
    <col min="12061" max="12061" width="12.140625" style="42" hidden="1"/>
    <col min="12062" max="12063" width="3" style="42" hidden="1"/>
    <col min="12064" max="12064" width="8.140625" style="42" hidden="1"/>
    <col min="12065" max="12065" width="3" style="42" hidden="1"/>
    <col min="12066" max="12066" width="23" style="42" hidden="1"/>
    <col min="12067" max="12288" width="3" style="42" hidden="1"/>
    <col min="12289" max="12289" width="4.5703125" style="42" hidden="1"/>
    <col min="12290" max="12290" width="6.28515625" style="42" hidden="1"/>
    <col min="12291" max="12291" width="16.7109375" style="42" hidden="1"/>
    <col min="12292" max="12292" width="8.5703125" style="42" hidden="1"/>
    <col min="12293" max="12293" width="11.140625" style="42" hidden="1"/>
    <col min="12294" max="12296" width="7.28515625" style="42" hidden="1"/>
    <col min="12297" max="12297" width="8.28515625" style="42" hidden="1"/>
    <col min="12298" max="12298" width="17.7109375" style="42" hidden="1"/>
    <col min="12299" max="12299" width="17.140625" style="42" hidden="1"/>
    <col min="12300" max="12300" width="12.85546875" style="42" hidden="1"/>
    <col min="12301" max="12301" width="11" style="42" hidden="1"/>
    <col min="12302" max="12302" width="11.140625" style="42" hidden="1"/>
    <col min="12303" max="12303" width="12.140625" style="42" hidden="1"/>
    <col min="12304" max="12304" width="9.140625" style="42" hidden="1"/>
    <col min="12305" max="12308" width="9.28515625" style="42" hidden="1"/>
    <col min="12309" max="12311" width="6.28515625" style="42" hidden="1"/>
    <col min="12312" max="12312" width="5.140625" style="42" hidden="1"/>
    <col min="12313" max="12313" width="3" style="42" hidden="1"/>
    <col min="12314" max="12314" width="7.42578125" style="42" hidden="1"/>
    <col min="12315" max="12315" width="7.85546875" style="42" hidden="1"/>
    <col min="12316" max="12316" width="3" style="42" hidden="1"/>
    <col min="12317" max="12317" width="12.140625" style="42" hidden="1"/>
    <col min="12318" max="12319" width="3" style="42" hidden="1"/>
    <col min="12320" max="12320" width="8.140625" style="42" hidden="1"/>
    <col min="12321" max="12321" width="3" style="42" hidden="1"/>
    <col min="12322" max="12322" width="23" style="42" hidden="1"/>
    <col min="12323" max="12544" width="3" style="42" hidden="1"/>
    <col min="12545" max="12545" width="4.5703125" style="42" hidden="1"/>
    <col min="12546" max="12546" width="6.28515625" style="42" hidden="1"/>
    <col min="12547" max="12547" width="16.7109375" style="42" hidden="1"/>
    <col min="12548" max="12548" width="8.5703125" style="42" hidden="1"/>
    <col min="12549" max="12549" width="11.140625" style="42" hidden="1"/>
    <col min="12550" max="12552" width="7.28515625" style="42" hidden="1"/>
    <col min="12553" max="12553" width="8.28515625" style="42" hidden="1"/>
    <col min="12554" max="12554" width="17.7109375" style="42" hidden="1"/>
    <col min="12555" max="12555" width="17.140625" style="42" hidden="1"/>
    <col min="12556" max="12556" width="12.85546875" style="42" hidden="1"/>
    <col min="12557" max="12557" width="11" style="42" hidden="1"/>
    <col min="12558" max="12558" width="11.140625" style="42" hidden="1"/>
    <col min="12559" max="12559" width="12.140625" style="42" hidden="1"/>
    <col min="12560" max="12560" width="9.140625" style="42" hidden="1"/>
    <col min="12561" max="12564" width="9.28515625" style="42" hidden="1"/>
    <col min="12565" max="12567" width="6.28515625" style="42" hidden="1"/>
    <col min="12568" max="12568" width="5.140625" style="42" hidden="1"/>
    <col min="12569" max="12569" width="3" style="42" hidden="1"/>
    <col min="12570" max="12570" width="7.42578125" style="42" hidden="1"/>
    <col min="12571" max="12571" width="7.85546875" style="42" hidden="1"/>
    <col min="12572" max="12572" width="3" style="42" hidden="1"/>
    <col min="12573" max="12573" width="12.140625" style="42" hidden="1"/>
    <col min="12574" max="12575" width="3" style="42" hidden="1"/>
    <col min="12576" max="12576" width="8.140625" style="42" hidden="1"/>
    <col min="12577" max="12577" width="3" style="42" hidden="1"/>
    <col min="12578" max="12578" width="23" style="42" hidden="1"/>
    <col min="12579" max="12800" width="3" style="42" hidden="1"/>
    <col min="12801" max="12801" width="4.5703125" style="42" hidden="1"/>
    <col min="12802" max="12802" width="6.28515625" style="42" hidden="1"/>
    <col min="12803" max="12803" width="16.7109375" style="42" hidden="1"/>
    <col min="12804" max="12804" width="8.5703125" style="42" hidden="1"/>
    <col min="12805" max="12805" width="11.140625" style="42" hidden="1"/>
    <col min="12806" max="12808" width="7.28515625" style="42" hidden="1"/>
    <col min="12809" max="12809" width="8.28515625" style="42" hidden="1"/>
    <col min="12810" max="12810" width="17.7109375" style="42" hidden="1"/>
    <col min="12811" max="12811" width="17.140625" style="42" hidden="1"/>
    <col min="12812" max="12812" width="12.85546875" style="42" hidden="1"/>
    <col min="12813" max="12813" width="11" style="42" hidden="1"/>
    <col min="12814" max="12814" width="11.140625" style="42" hidden="1"/>
    <col min="12815" max="12815" width="12.140625" style="42" hidden="1"/>
    <col min="12816" max="12816" width="9.140625" style="42" hidden="1"/>
    <col min="12817" max="12820" width="9.28515625" style="42" hidden="1"/>
    <col min="12821" max="12823" width="6.28515625" style="42" hidden="1"/>
    <col min="12824" max="12824" width="5.140625" style="42" hidden="1"/>
    <col min="12825" max="12825" width="3" style="42" hidden="1"/>
    <col min="12826" max="12826" width="7.42578125" style="42" hidden="1"/>
    <col min="12827" max="12827" width="7.85546875" style="42" hidden="1"/>
    <col min="12828" max="12828" width="3" style="42" hidden="1"/>
    <col min="12829" max="12829" width="12.140625" style="42" hidden="1"/>
    <col min="12830" max="12831" width="3" style="42" hidden="1"/>
    <col min="12832" max="12832" width="8.140625" style="42" hidden="1"/>
    <col min="12833" max="12833" width="3" style="42" hidden="1"/>
    <col min="12834" max="12834" width="23" style="42" hidden="1"/>
    <col min="12835" max="13056" width="3" style="42" hidden="1"/>
    <col min="13057" max="13057" width="4.5703125" style="42" hidden="1"/>
    <col min="13058" max="13058" width="6.28515625" style="42" hidden="1"/>
    <col min="13059" max="13059" width="16.7109375" style="42" hidden="1"/>
    <col min="13060" max="13060" width="8.5703125" style="42" hidden="1"/>
    <col min="13061" max="13061" width="11.140625" style="42" hidden="1"/>
    <col min="13062" max="13064" width="7.28515625" style="42" hidden="1"/>
    <col min="13065" max="13065" width="8.28515625" style="42" hidden="1"/>
    <col min="13066" max="13066" width="17.7109375" style="42" hidden="1"/>
    <col min="13067" max="13067" width="17.140625" style="42" hidden="1"/>
    <col min="13068" max="13068" width="12.85546875" style="42" hidden="1"/>
    <col min="13069" max="13069" width="11" style="42" hidden="1"/>
    <col min="13070" max="13070" width="11.140625" style="42" hidden="1"/>
    <col min="13071" max="13071" width="12.140625" style="42" hidden="1"/>
    <col min="13072" max="13072" width="9.140625" style="42" hidden="1"/>
    <col min="13073" max="13076" width="9.28515625" style="42" hidden="1"/>
    <col min="13077" max="13079" width="6.28515625" style="42" hidden="1"/>
    <col min="13080" max="13080" width="5.140625" style="42" hidden="1"/>
    <col min="13081" max="13081" width="3" style="42" hidden="1"/>
    <col min="13082" max="13082" width="7.42578125" style="42" hidden="1"/>
    <col min="13083" max="13083" width="7.85546875" style="42" hidden="1"/>
    <col min="13084" max="13084" width="3" style="42" hidden="1"/>
    <col min="13085" max="13085" width="12.140625" style="42" hidden="1"/>
    <col min="13086" max="13087" width="3" style="42" hidden="1"/>
    <col min="13088" max="13088" width="8.140625" style="42" hidden="1"/>
    <col min="13089" max="13089" width="3" style="42" hidden="1"/>
    <col min="13090" max="13090" width="23" style="42" hidden="1"/>
    <col min="13091" max="13312" width="3" style="42" hidden="1"/>
    <col min="13313" max="13313" width="4.5703125" style="42" hidden="1"/>
    <col min="13314" max="13314" width="6.28515625" style="42" hidden="1"/>
    <col min="13315" max="13315" width="16.7109375" style="42" hidden="1"/>
    <col min="13316" max="13316" width="8.5703125" style="42" hidden="1"/>
    <col min="13317" max="13317" width="11.140625" style="42" hidden="1"/>
    <col min="13318" max="13320" width="7.28515625" style="42" hidden="1"/>
    <col min="13321" max="13321" width="8.28515625" style="42" hidden="1"/>
    <col min="13322" max="13322" width="17.7109375" style="42" hidden="1"/>
    <col min="13323" max="13323" width="17.140625" style="42" hidden="1"/>
    <col min="13324" max="13324" width="12.85546875" style="42" hidden="1"/>
    <col min="13325" max="13325" width="11" style="42" hidden="1"/>
    <col min="13326" max="13326" width="11.140625" style="42" hidden="1"/>
    <col min="13327" max="13327" width="12.140625" style="42" hidden="1"/>
    <col min="13328" max="13328" width="9.140625" style="42" hidden="1"/>
    <col min="13329" max="13332" width="9.28515625" style="42" hidden="1"/>
    <col min="13333" max="13335" width="6.28515625" style="42" hidden="1"/>
    <col min="13336" max="13336" width="5.140625" style="42" hidden="1"/>
    <col min="13337" max="13337" width="3" style="42" hidden="1"/>
    <col min="13338" max="13338" width="7.42578125" style="42" hidden="1"/>
    <col min="13339" max="13339" width="7.85546875" style="42" hidden="1"/>
    <col min="13340" max="13340" width="3" style="42" hidden="1"/>
    <col min="13341" max="13341" width="12.140625" style="42" hidden="1"/>
    <col min="13342" max="13343" width="3" style="42" hidden="1"/>
    <col min="13344" max="13344" width="8.140625" style="42" hidden="1"/>
    <col min="13345" max="13345" width="3" style="42" hidden="1"/>
    <col min="13346" max="13346" width="23" style="42" hidden="1"/>
    <col min="13347" max="13568" width="3" style="42" hidden="1"/>
    <col min="13569" max="13569" width="4.5703125" style="42" hidden="1"/>
    <col min="13570" max="13570" width="6.28515625" style="42" hidden="1"/>
    <col min="13571" max="13571" width="16.7109375" style="42" hidden="1"/>
    <col min="13572" max="13572" width="8.5703125" style="42" hidden="1"/>
    <col min="13573" max="13573" width="11.140625" style="42" hidden="1"/>
    <col min="13574" max="13576" width="7.28515625" style="42" hidden="1"/>
    <col min="13577" max="13577" width="8.28515625" style="42" hidden="1"/>
    <col min="13578" max="13578" width="17.7109375" style="42" hidden="1"/>
    <col min="13579" max="13579" width="17.140625" style="42" hidden="1"/>
    <col min="13580" max="13580" width="12.85546875" style="42" hidden="1"/>
    <col min="13581" max="13581" width="11" style="42" hidden="1"/>
    <col min="13582" max="13582" width="11.140625" style="42" hidden="1"/>
    <col min="13583" max="13583" width="12.140625" style="42" hidden="1"/>
    <col min="13584" max="13584" width="9.140625" style="42" hidden="1"/>
    <col min="13585" max="13588" width="9.28515625" style="42" hidden="1"/>
    <col min="13589" max="13591" width="6.28515625" style="42" hidden="1"/>
    <col min="13592" max="13592" width="5.140625" style="42" hidden="1"/>
    <col min="13593" max="13593" width="3" style="42" hidden="1"/>
    <col min="13594" max="13594" width="7.42578125" style="42" hidden="1"/>
    <col min="13595" max="13595" width="7.85546875" style="42" hidden="1"/>
    <col min="13596" max="13596" width="3" style="42" hidden="1"/>
    <col min="13597" max="13597" width="12.140625" style="42" hidden="1"/>
    <col min="13598" max="13599" width="3" style="42" hidden="1"/>
    <col min="13600" max="13600" width="8.140625" style="42" hidden="1"/>
    <col min="13601" max="13601" width="3" style="42" hidden="1"/>
    <col min="13602" max="13602" width="23" style="42" hidden="1"/>
    <col min="13603" max="13824" width="3" style="42" hidden="1"/>
    <col min="13825" max="13825" width="4.5703125" style="42" hidden="1"/>
    <col min="13826" max="13826" width="6.28515625" style="42" hidden="1"/>
    <col min="13827" max="13827" width="16.7109375" style="42" hidden="1"/>
    <col min="13828" max="13828" width="8.5703125" style="42" hidden="1"/>
    <col min="13829" max="13829" width="11.140625" style="42" hidden="1"/>
    <col min="13830" max="13832" width="7.28515625" style="42" hidden="1"/>
    <col min="13833" max="13833" width="8.28515625" style="42" hidden="1"/>
    <col min="13834" max="13834" width="17.7109375" style="42" hidden="1"/>
    <col min="13835" max="13835" width="17.140625" style="42" hidden="1"/>
    <col min="13836" max="13836" width="12.85546875" style="42" hidden="1"/>
    <col min="13837" max="13837" width="11" style="42" hidden="1"/>
    <col min="13838" max="13838" width="11.140625" style="42" hidden="1"/>
    <col min="13839" max="13839" width="12.140625" style="42" hidden="1"/>
    <col min="13840" max="13840" width="9.140625" style="42" hidden="1"/>
    <col min="13841" max="13844" width="9.28515625" style="42" hidden="1"/>
    <col min="13845" max="13847" width="6.28515625" style="42" hidden="1"/>
    <col min="13848" max="13848" width="5.140625" style="42" hidden="1"/>
    <col min="13849" max="13849" width="3" style="42" hidden="1"/>
    <col min="13850" max="13850" width="7.42578125" style="42" hidden="1"/>
    <col min="13851" max="13851" width="7.85546875" style="42" hidden="1"/>
    <col min="13852" max="13852" width="3" style="42" hidden="1"/>
    <col min="13853" max="13853" width="12.140625" style="42" hidden="1"/>
    <col min="13854" max="13855" width="3" style="42" hidden="1"/>
    <col min="13856" max="13856" width="8.140625" style="42" hidden="1"/>
    <col min="13857" max="13857" width="3" style="42" hidden="1"/>
    <col min="13858" max="13858" width="23" style="42" hidden="1"/>
    <col min="13859" max="14080" width="3" style="42" hidden="1"/>
    <col min="14081" max="14081" width="4.5703125" style="42" hidden="1"/>
    <col min="14082" max="14082" width="6.28515625" style="42" hidden="1"/>
    <col min="14083" max="14083" width="16.7109375" style="42" hidden="1"/>
    <col min="14084" max="14084" width="8.5703125" style="42" hidden="1"/>
    <col min="14085" max="14085" width="11.140625" style="42" hidden="1"/>
    <col min="14086" max="14088" width="7.28515625" style="42" hidden="1"/>
    <col min="14089" max="14089" width="8.28515625" style="42" hidden="1"/>
    <col min="14090" max="14090" width="17.7109375" style="42" hidden="1"/>
    <col min="14091" max="14091" width="17.140625" style="42" hidden="1"/>
    <col min="14092" max="14092" width="12.85546875" style="42" hidden="1"/>
    <col min="14093" max="14093" width="11" style="42" hidden="1"/>
    <col min="14094" max="14094" width="11.140625" style="42" hidden="1"/>
    <col min="14095" max="14095" width="12.140625" style="42" hidden="1"/>
    <col min="14096" max="14096" width="9.140625" style="42" hidden="1"/>
    <col min="14097" max="14100" width="9.28515625" style="42" hidden="1"/>
    <col min="14101" max="14103" width="6.28515625" style="42" hidden="1"/>
    <col min="14104" max="14104" width="5.140625" style="42" hidden="1"/>
    <col min="14105" max="14105" width="3" style="42" hidden="1"/>
    <col min="14106" max="14106" width="7.42578125" style="42" hidden="1"/>
    <col min="14107" max="14107" width="7.85546875" style="42" hidden="1"/>
    <col min="14108" max="14108" width="3" style="42" hidden="1"/>
    <col min="14109" max="14109" width="12.140625" style="42" hidden="1"/>
    <col min="14110" max="14111" width="3" style="42" hidden="1"/>
    <col min="14112" max="14112" width="8.140625" style="42" hidden="1"/>
    <col min="14113" max="14113" width="3" style="42" hidden="1"/>
    <col min="14114" max="14114" width="23" style="42" hidden="1"/>
    <col min="14115" max="14336" width="3" style="42" hidden="1"/>
    <col min="14337" max="14337" width="4.5703125" style="42" hidden="1"/>
    <col min="14338" max="14338" width="6.28515625" style="42" hidden="1"/>
    <col min="14339" max="14339" width="16.7109375" style="42" hidden="1"/>
    <col min="14340" max="14340" width="8.5703125" style="42" hidden="1"/>
    <col min="14341" max="14341" width="11.140625" style="42" hidden="1"/>
    <col min="14342" max="14344" width="7.28515625" style="42" hidden="1"/>
    <col min="14345" max="14345" width="8.28515625" style="42" hidden="1"/>
    <col min="14346" max="14346" width="17.7109375" style="42" hidden="1"/>
    <col min="14347" max="14347" width="17.140625" style="42" hidden="1"/>
    <col min="14348" max="14348" width="12.85546875" style="42" hidden="1"/>
    <col min="14349" max="14349" width="11" style="42" hidden="1"/>
    <col min="14350" max="14350" width="11.140625" style="42" hidden="1"/>
    <col min="14351" max="14351" width="12.140625" style="42" hidden="1"/>
    <col min="14352" max="14352" width="9.140625" style="42" hidden="1"/>
    <col min="14353" max="14356" width="9.28515625" style="42" hidden="1"/>
    <col min="14357" max="14359" width="6.28515625" style="42" hidden="1"/>
    <col min="14360" max="14360" width="5.140625" style="42" hidden="1"/>
    <col min="14361" max="14361" width="3" style="42" hidden="1"/>
    <col min="14362" max="14362" width="7.42578125" style="42" hidden="1"/>
    <col min="14363" max="14363" width="7.85546875" style="42" hidden="1"/>
    <col min="14364" max="14364" width="3" style="42" hidden="1"/>
    <col min="14365" max="14365" width="12.140625" style="42" hidden="1"/>
    <col min="14366" max="14367" width="3" style="42" hidden="1"/>
    <col min="14368" max="14368" width="8.140625" style="42" hidden="1"/>
    <col min="14369" max="14369" width="3" style="42" hidden="1"/>
    <col min="14370" max="14370" width="23" style="42" hidden="1"/>
    <col min="14371" max="14592" width="3" style="42" hidden="1"/>
    <col min="14593" max="14593" width="4.5703125" style="42" hidden="1"/>
    <col min="14594" max="14594" width="6.28515625" style="42" hidden="1"/>
    <col min="14595" max="14595" width="16.7109375" style="42" hidden="1"/>
    <col min="14596" max="14596" width="8.5703125" style="42" hidden="1"/>
    <col min="14597" max="14597" width="11.140625" style="42" hidden="1"/>
    <col min="14598" max="14600" width="7.28515625" style="42" hidden="1"/>
    <col min="14601" max="14601" width="8.28515625" style="42" hidden="1"/>
    <col min="14602" max="14602" width="17.7109375" style="42" hidden="1"/>
    <col min="14603" max="14603" width="17.140625" style="42" hidden="1"/>
    <col min="14604" max="14604" width="12.85546875" style="42" hidden="1"/>
    <col min="14605" max="14605" width="11" style="42" hidden="1"/>
    <col min="14606" max="14606" width="11.140625" style="42" hidden="1"/>
    <col min="14607" max="14607" width="12.140625" style="42" hidden="1"/>
    <col min="14608" max="14608" width="9.140625" style="42" hidden="1"/>
    <col min="14609" max="14612" width="9.28515625" style="42" hidden="1"/>
    <col min="14613" max="14615" width="6.28515625" style="42" hidden="1"/>
    <col min="14616" max="14616" width="5.140625" style="42" hidden="1"/>
    <col min="14617" max="14617" width="3" style="42" hidden="1"/>
    <col min="14618" max="14618" width="7.42578125" style="42" hidden="1"/>
    <col min="14619" max="14619" width="7.85546875" style="42" hidden="1"/>
    <col min="14620" max="14620" width="3" style="42" hidden="1"/>
    <col min="14621" max="14621" width="12.140625" style="42" hidden="1"/>
    <col min="14622" max="14623" width="3" style="42" hidden="1"/>
    <col min="14624" max="14624" width="8.140625" style="42" hidden="1"/>
    <col min="14625" max="14625" width="3" style="42" hidden="1"/>
    <col min="14626" max="14626" width="23" style="42" hidden="1"/>
    <col min="14627" max="14848" width="3" style="42" hidden="1"/>
    <col min="14849" max="14849" width="4.5703125" style="42" hidden="1"/>
    <col min="14850" max="14850" width="6.28515625" style="42" hidden="1"/>
    <col min="14851" max="14851" width="16.7109375" style="42" hidden="1"/>
    <col min="14852" max="14852" width="8.5703125" style="42" hidden="1"/>
    <col min="14853" max="14853" width="11.140625" style="42" hidden="1"/>
    <col min="14854" max="14856" width="7.28515625" style="42" hidden="1"/>
    <col min="14857" max="14857" width="8.28515625" style="42" hidden="1"/>
    <col min="14858" max="14858" width="17.7109375" style="42" hidden="1"/>
    <col min="14859" max="14859" width="17.140625" style="42" hidden="1"/>
    <col min="14860" max="14860" width="12.85546875" style="42" hidden="1"/>
    <col min="14861" max="14861" width="11" style="42" hidden="1"/>
    <col min="14862" max="14862" width="11.140625" style="42" hidden="1"/>
    <col min="14863" max="14863" width="12.140625" style="42" hidden="1"/>
    <col min="14864" max="14864" width="9.140625" style="42" hidden="1"/>
    <col min="14865" max="14868" width="9.28515625" style="42" hidden="1"/>
    <col min="14869" max="14871" width="6.28515625" style="42" hidden="1"/>
    <col min="14872" max="14872" width="5.140625" style="42" hidden="1"/>
    <col min="14873" max="14873" width="3" style="42" hidden="1"/>
    <col min="14874" max="14874" width="7.42578125" style="42" hidden="1"/>
    <col min="14875" max="14875" width="7.85546875" style="42" hidden="1"/>
    <col min="14876" max="14876" width="3" style="42" hidden="1"/>
    <col min="14877" max="14877" width="12.140625" style="42" hidden="1"/>
    <col min="14878" max="14879" width="3" style="42" hidden="1"/>
    <col min="14880" max="14880" width="8.140625" style="42" hidden="1"/>
    <col min="14881" max="14881" width="3" style="42" hidden="1"/>
    <col min="14882" max="14882" width="23" style="42" hidden="1"/>
    <col min="14883" max="15104" width="3" style="42" hidden="1"/>
    <col min="15105" max="15105" width="4.5703125" style="42" hidden="1"/>
    <col min="15106" max="15106" width="6.28515625" style="42" hidden="1"/>
    <col min="15107" max="15107" width="16.7109375" style="42" hidden="1"/>
    <col min="15108" max="15108" width="8.5703125" style="42" hidden="1"/>
    <col min="15109" max="15109" width="11.140625" style="42" hidden="1"/>
    <col min="15110" max="15112" width="7.28515625" style="42" hidden="1"/>
    <col min="15113" max="15113" width="8.28515625" style="42" hidden="1"/>
    <col min="15114" max="15114" width="17.7109375" style="42" hidden="1"/>
    <col min="15115" max="15115" width="17.140625" style="42" hidden="1"/>
    <col min="15116" max="15116" width="12.85546875" style="42" hidden="1"/>
    <col min="15117" max="15117" width="11" style="42" hidden="1"/>
    <col min="15118" max="15118" width="11.140625" style="42" hidden="1"/>
    <col min="15119" max="15119" width="12.140625" style="42" hidden="1"/>
    <col min="15120" max="15120" width="9.140625" style="42" hidden="1"/>
    <col min="15121" max="15124" width="9.28515625" style="42" hidden="1"/>
    <col min="15125" max="15127" width="6.28515625" style="42" hidden="1"/>
    <col min="15128" max="15128" width="5.140625" style="42" hidden="1"/>
    <col min="15129" max="15129" width="3" style="42" hidden="1"/>
    <col min="15130" max="15130" width="7.42578125" style="42" hidden="1"/>
    <col min="15131" max="15131" width="7.85546875" style="42" hidden="1"/>
    <col min="15132" max="15132" width="3" style="42" hidden="1"/>
    <col min="15133" max="15133" width="12.140625" style="42" hidden="1"/>
    <col min="15134" max="15135" width="3" style="42" hidden="1"/>
    <col min="15136" max="15136" width="8.140625" style="42" hidden="1"/>
    <col min="15137" max="15137" width="3" style="42" hidden="1"/>
    <col min="15138" max="15138" width="23" style="42" hidden="1"/>
    <col min="15139" max="15360" width="3" style="42" hidden="1"/>
    <col min="15361" max="15361" width="4.5703125" style="42" hidden="1"/>
    <col min="15362" max="15362" width="6.28515625" style="42" hidden="1"/>
    <col min="15363" max="15363" width="16.7109375" style="42" hidden="1"/>
    <col min="15364" max="15364" width="8.5703125" style="42" hidden="1"/>
    <col min="15365" max="15365" width="11.140625" style="42" hidden="1"/>
    <col min="15366" max="15368" width="7.28515625" style="42" hidden="1"/>
    <col min="15369" max="15369" width="8.28515625" style="42" hidden="1"/>
    <col min="15370" max="15370" width="17.7109375" style="42" hidden="1"/>
    <col min="15371" max="15371" width="17.140625" style="42" hidden="1"/>
    <col min="15372" max="15372" width="12.85546875" style="42" hidden="1"/>
    <col min="15373" max="15373" width="11" style="42" hidden="1"/>
    <col min="15374" max="15374" width="11.140625" style="42" hidden="1"/>
    <col min="15375" max="15375" width="12.140625" style="42" hidden="1"/>
    <col min="15376" max="15376" width="9.140625" style="42" hidden="1"/>
    <col min="15377" max="15380" width="9.28515625" style="42" hidden="1"/>
    <col min="15381" max="15383" width="6.28515625" style="42" hidden="1"/>
    <col min="15384" max="15384" width="5.140625" style="42" hidden="1"/>
    <col min="15385" max="15385" width="3" style="42" hidden="1"/>
    <col min="15386" max="15386" width="7.42578125" style="42" hidden="1"/>
    <col min="15387" max="15387" width="7.85546875" style="42" hidden="1"/>
    <col min="15388" max="15388" width="3" style="42" hidden="1"/>
    <col min="15389" max="15389" width="12.140625" style="42" hidden="1"/>
    <col min="15390" max="15391" width="3" style="42" hidden="1"/>
    <col min="15392" max="15392" width="8.140625" style="42" hidden="1"/>
    <col min="15393" max="15393" width="3" style="42" hidden="1"/>
    <col min="15394" max="15394" width="23" style="42" hidden="1"/>
    <col min="15395" max="15616" width="3" style="42" hidden="1"/>
    <col min="15617" max="15617" width="4.5703125" style="42" hidden="1"/>
    <col min="15618" max="15618" width="6.28515625" style="42" hidden="1"/>
    <col min="15619" max="15619" width="16.7109375" style="42" hidden="1"/>
    <col min="15620" max="15620" width="8.5703125" style="42" hidden="1"/>
    <col min="15621" max="15621" width="11.140625" style="42" hidden="1"/>
    <col min="15622" max="15624" width="7.28515625" style="42" hidden="1"/>
    <col min="15625" max="15625" width="8.28515625" style="42" hidden="1"/>
    <col min="15626" max="15626" width="17.7109375" style="42" hidden="1"/>
    <col min="15627" max="15627" width="17.140625" style="42" hidden="1"/>
    <col min="15628" max="15628" width="12.85546875" style="42" hidden="1"/>
    <col min="15629" max="15629" width="11" style="42" hidden="1"/>
    <col min="15630" max="15630" width="11.140625" style="42" hidden="1"/>
    <col min="15631" max="15631" width="12.140625" style="42" hidden="1"/>
    <col min="15632" max="15632" width="9.140625" style="42" hidden="1"/>
    <col min="15633" max="15636" width="9.28515625" style="42" hidden="1"/>
    <col min="15637" max="15639" width="6.28515625" style="42" hidden="1"/>
    <col min="15640" max="15640" width="5.140625" style="42" hidden="1"/>
    <col min="15641" max="15641" width="3" style="42" hidden="1"/>
    <col min="15642" max="15642" width="7.42578125" style="42" hidden="1"/>
    <col min="15643" max="15643" width="7.85546875" style="42" hidden="1"/>
    <col min="15644" max="15644" width="3" style="42" hidden="1"/>
    <col min="15645" max="15645" width="12.140625" style="42" hidden="1"/>
    <col min="15646" max="15647" width="3" style="42" hidden="1"/>
    <col min="15648" max="15648" width="8.140625" style="42" hidden="1"/>
    <col min="15649" max="15649" width="3" style="42" hidden="1"/>
    <col min="15650" max="15650" width="23" style="42" hidden="1"/>
    <col min="15651" max="15872" width="3" style="42" hidden="1"/>
    <col min="15873" max="15873" width="4.5703125" style="42" hidden="1"/>
    <col min="15874" max="15874" width="6.28515625" style="42" hidden="1"/>
    <col min="15875" max="15875" width="16.7109375" style="42" hidden="1"/>
    <col min="15876" max="15876" width="8.5703125" style="42" hidden="1"/>
    <col min="15877" max="15877" width="11.140625" style="42" hidden="1"/>
    <col min="15878" max="15880" width="7.28515625" style="42" hidden="1"/>
    <col min="15881" max="15881" width="8.28515625" style="42" hidden="1"/>
    <col min="15882" max="15882" width="17.7109375" style="42" hidden="1"/>
    <col min="15883" max="15883" width="17.140625" style="42" hidden="1"/>
    <col min="15884" max="15884" width="12.85546875" style="42" hidden="1"/>
    <col min="15885" max="15885" width="11" style="42" hidden="1"/>
    <col min="15886" max="15886" width="11.140625" style="42" hidden="1"/>
    <col min="15887" max="15887" width="12.140625" style="42" hidden="1"/>
    <col min="15888" max="15888" width="9.140625" style="42" hidden="1"/>
    <col min="15889" max="15892" width="9.28515625" style="42" hidden="1"/>
    <col min="15893" max="15895" width="6.28515625" style="42" hidden="1"/>
    <col min="15896" max="15896" width="5.140625" style="42" hidden="1"/>
    <col min="15897" max="15897" width="3" style="42" hidden="1"/>
    <col min="15898" max="15898" width="7.42578125" style="42" hidden="1"/>
    <col min="15899" max="15899" width="7.85546875" style="42" hidden="1"/>
    <col min="15900" max="15900" width="3" style="42" hidden="1"/>
    <col min="15901" max="15901" width="12.140625" style="42" hidden="1"/>
    <col min="15902" max="15903" width="3" style="42" hidden="1"/>
    <col min="15904" max="15904" width="8.140625" style="42" hidden="1"/>
    <col min="15905" max="15905" width="3" style="42" hidden="1"/>
    <col min="15906" max="15906" width="23" style="42" hidden="1"/>
    <col min="15907" max="16128" width="3" style="42" hidden="1"/>
    <col min="16129" max="16129" width="4.5703125" style="42" hidden="1"/>
    <col min="16130" max="16130" width="6.28515625" style="42" hidden="1"/>
    <col min="16131" max="16131" width="16.7109375" style="42" hidden="1"/>
    <col min="16132" max="16132" width="8.5703125" style="42" hidden="1"/>
    <col min="16133" max="16133" width="11.140625" style="42" hidden="1"/>
    <col min="16134" max="16136" width="7.28515625" style="42" hidden="1"/>
    <col min="16137" max="16137" width="8.28515625" style="42" hidden="1"/>
    <col min="16138" max="16138" width="17.7109375" style="42" hidden="1"/>
    <col min="16139" max="16139" width="17.140625" style="42" hidden="1"/>
    <col min="16140" max="16140" width="12.85546875" style="42" hidden="1"/>
    <col min="16141" max="16141" width="11" style="42" hidden="1"/>
    <col min="16142" max="16142" width="11.140625" style="42" hidden="1"/>
    <col min="16143" max="16143" width="12.140625" style="42" hidden="1"/>
    <col min="16144" max="16144" width="9.140625" style="42" hidden="1"/>
    <col min="16145" max="16148" width="9.28515625" style="42" hidden="1"/>
    <col min="16149" max="16151" width="6.28515625" style="42" hidden="1"/>
    <col min="16152" max="16152" width="5.140625" style="42" hidden="1"/>
    <col min="16153" max="16153" width="3" style="42" hidden="1"/>
    <col min="16154" max="16154" width="7.42578125" style="42" hidden="1"/>
    <col min="16155" max="16155" width="7.85546875" style="42" hidden="1"/>
    <col min="16156" max="16156" width="3" style="42" hidden="1"/>
    <col min="16157" max="16157" width="12.140625" style="42" hidden="1"/>
    <col min="16158" max="16159" width="3" style="42" hidden="1"/>
    <col min="16160" max="16160" width="8.140625" style="42" hidden="1"/>
    <col min="16161" max="16161" width="3" style="42" hidden="1"/>
    <col min="16162" max="16162" width="23" style="42" hidden="1"/>
    <col min="16163" max="16384" width="3" style="42" hidden="1"/>
  </cols>
  <sheetData>
    <row r="1" spans="1:34" ht="27.75" customHeight="1">
      <c r="A1" s="399" t="s">
        <v>130</v>
      </c>
      <c r="B1" s="400"/>
      <c r="C1" s="119">
        <f>'ÇALIŞMA SAYFASI'!C2</f>
        <v>46049</v>
      </c>
      <c r="D1" s="393" t="s">
        <v>87</v>
      </c>
      <c r="E1" s="394"/>
      <c r="F1" s="394"/>
      <c r="G1" s="394"/>
      <c r="H1" s="394"/>
      <c r="I1" s="394"/>
      <c r="J1" s="395"/>
      <c r="K1" s="391"/>
    </row>
    <row r="2" spans="1:34" s="46" customFormat="1" ht="27.75" customHeight="1">
      <c r="A2" s="401"/>
      <c r="B2" s="402"/>
      <c r="C2" s="152" t="s">
        <v>125</v>
      </c>
      <c r="D2" s="396"/>
      <c r="E2" s="397"/>
      <c r="F2" s="397"/>
      <c r="G2" s="397"/>
      <c r="H2" s="397"/>
      <c r="I2" s="397"/>
      <c r="J2" s="398"/>
      <c r="K2" s="392"/>
    </row>
    <row r="3" spans="1:34" s="46" customFormat="1" ht="16.5" customHeight="1">
      <c r="A3" s="54"/>
      <c r="B3" s="432" t="s">
        <v>101</v>
      </c>
      <c r="C3" s="432"/>
      <c r="D3" s="114" t="s">
        <v>73</v>
      </c>
      <c r="E3" s="419" t="str">
        <f>'ÇALIŞMA SAYFASI'!E2</f>
        <v>PA600-44&amp;53</v>
      </c>
      <c r="F3" s="419"/>
      <c r="G3" s="48"/>
      <c r="H3" s="433" t="s">
        <v>128</v>
      </c>
      <c r="I3" s="433"/>
      <c r="J3" s="403" t="str">
        <f>'ÇALIŞMA SAYFASI'!G2</f>
        <v>SONELGAZ</v>
      </c>
      <c r="K3" s="404"/>
      <c r="M3" s="127"/>
      <c r="N3" s="127"/>
      <c r="O3" s="127"/>
      <c r="P3" s="127"/>
      <c r="Q3" s="127"/>
      <c r="R3" s="127"/>
      <c r="S3" s="127"/>
    </row>
    <row r="4" spans="1:34" s="46" customFormat="1" ht="12" customHeight="1">
      <c r="A4" s="54"/>
      <c r="B4" s="420" t="s">
        <v>102</v>
      </c>
      <c r="C4" s="420"/>
      <c r="D4" s="114" t="s">
        <v>73</v>
      </c>
      <c r="E4" s="419">
        <f>'ÇALIŞMA SAYFASI'!E4</f>
        <v>120</v>
      </c>
      <c r="F4" s="419"/>
      <c r="G4" s="48"/>
      <c r="H4" s="433" t="s">
        <v>129</v>
      </c>
      <c r="I4" s="433"/>
      <c r="J4" s="435" t="str">
        <f>'ÇALIŞMA SAYFASI'!G4</f>
        <v>ALGERIA</v>
      </c>
      <c r="K4" s="436"/>
      <c r="M4" s="127"/>
      <c r="N4" s="127"/>
      <c r="O4" s="127"/>
      <c r="P4" s="127"/>
      <c r="Q4" s="127"/>
      <c r="R4" s="127"/>
      <c r="S4" s="127"/>
    </row>
    <row r="5" spans="1:34" s="46" customFormat="1" ht="12" customHeight="1">
      <c r="A5" s="54"/>
      <c r="B5" s="432" t="s">
        <v>88</v>
      </c>
      <c r="C5" s="432"/>
      <c r="D5" s="114" t="s">
        <v>73</v>
      </c>
      <c r="E5" s="419">
        <f>'ÇALIŞMA SAYFASI'!E6</f>
        <v>220</v>
      </c>
      <c r="F5" s="419"/>
      <c r="G5" s="44"/>
      <c r="H5" s="44"/>
      <c r="I5" s="44"/>
      <c r="J5" s="430"/>
      <c r="K5" s="431"/>
      <c r="M5" s="176">
        <v>44665</v>
      </c>
      <c r="N5" s="135"/>
      <c r="O5" s="135"/>
      <c r="P5" s="135"/>
      <c r="Q5" s="135"/>
      <c r="R5" s="135"/>
      <c r="S5" s="135"/>
    </row>
    <row r="6" spans="1:34" s="46" customFormat="1" ht="12" customHeight="1">
      <c r="A6" s="54"/>
      <c r="B6" s="432" t="s">
        <v>74</v>
      </c>
      <c r="C6" s="432"/>
      <c r="D6" s="432"/>
      <c r="E6" s="44"/>
      <c r="F6" s="114" t="s">
        <v>73</v>
      </c>
      <c r="G6" s="419" t="str">
        <f>'ÇALIŞMA SAYFASI'!M4</f>
        <v>T01128371</v>
      </c>
      <c r="H6" s="419"/>
      <c r="I6" s="44"/>
      <c r="J6" s="430"/>
      <c r="K6" s="431"/>
      <c r="M6" s="177" t="s">
        <v>135</v>
      </c>
      <c r="N6" s="136">
        <v>52000</v>
      </c>
      <c r="O6" s="135"/>
      <c r="P6" s="135"/>
      <c r="Q6" s="135"/>
      <c r="R6" s="135"/>
      <c r="S6" s="135"/>
    </row>
    <row r="7" spans="1:34" s="46" customFormat="1" ht="12" customHeight="1">
      <c r="A7" s="54"/>
      <c r="B7" s="432" t="s">
        <v>75</v>
      </c>
      <c r="C7" s="432"/>
      <c r="D7" s="432"/>
      <c r="E7" s="432"/>
      <c r="F7" s="114" t="s">
        <v>73</v>
      </c>
      <c r="G7" s="419" t="str">
        <f>'ÇALIŞMA SAYFASI'!M3</f>
        <v>T01128380</v>
      </c>
      <c r="H7" s="419"/>
      <c r="I7" s="44"/>
      <c r="J7" s="430"/>
      <c r="K7" s="431"/>
      <c r="M7" s="178" t="s">
        <v>136</v>
      </c>
      <c r="N7" s="468" t="s">
        <v>485</v>
      </c>
      <c r="O7" s="469"/>
      <c r="P7" s="135"/>
      <c r="Q7" s="135"/>
      <c r="R7" s="135"/>
      <c r="S7" s="135"/>
    </row>
    <row r="8" spans="1:34" s="46" customFormat="1" ht="12" customHeight="1">
      <c r="A8" s="54"/>
      <c r="B8" s="170" t="s">
        <v>415</v>
      </c>
      <c r="C8" s="170"/>
      <c r="D8" s="170"/>
      <c r="E8" s="170"/>
      <c r="F8" s="114" t="s">
        <v>73</v>
      </c>
      <c r="G8" s="419" t="str">
        <f>'ÇALIŞMA SAYFASI'!M2</f>
        <v>T01140490</v>
      </c>
      <c r="H8" s="419"/>
      <c r="I8" s="44"/>
      <c r="J8" s="171"/>
      <c r="K8" s="172"/>
      <c r="M8" s="143"/>
      <c r="N8" s="173"/>
      <c r="O8" s="174"/>
      <c r="P8" s="135"/>
      <c r="Q8" s="135"/>
      <c r="R8" s="135"/>
      <c r="S8" s="135"/>
    </row>
    <row r="9" spans="1:34" s="46" customFormat="1" ht="12" customHeight="1">
      <c r="A9" s="94"/>
      <c r="B9" s="434" t="s">
        <v>76</v>
      </c>
      <c r="C9" s="434"/>
      <c r="D9" s="95"/>
      <c r="E9" s="95"/>
      <c r="F9" s="96" t="s">
        <v>73</v>
      </c>
      <c r="G9" s="434" t="s">
        <v>565</v>
      </c>
      <c r="H9" s="434"/>
      <c r="I9" s="434"/>
      <c r="J9" s="415"/>
      <c r="K9" s="416"/>
      <c r="M9" s="135"/>
      <c r="N9" s="135"/>
      <c r="O9" s="135"/>
      <c r="P9" s="135"/>
      <c r="Q9" s="135"/>
      <c r="R9" s="135"/>
      <c r="S9" s="135"/>
    </row>
    <row r="10" spans="1:34" s="46" customFormat="1" ht="12" customHeight="1">
      <c r="A10" s="94"/>
      <c r="B10" s="45"/>
      <c r="C10" s="45"/>
      <c r="D10" s="45"/>
      <c r="E10" s="45"/>
      <c r="F10" s="45"/>
      <c r="G10" s="45"/>
      <c r="H10" s="45"/>
      <c r="I10" s="45"/>
      <c r="J10" s="415"/>
      <c r="K10" s="416"/>
      <c r="M10" s="470" t="s">
        <v>137</v>
      </c>
      <c r="N10" s="470"/>
      <c r="O10" s="136"/>
      <c r="P10" s="471" t="s">
        <v>138</v>
      </c>
      <c r="Q10" s="471"/>
      <c r="R10" s="471"/>
      <c r="S10" s="135"/>
    </row>
    <row r="11" spans="1:34" s="46" customFormat="1" ht="15" customHeight="1">
      <c r="A11" s="94"/>
      <c r="B11" s="45"/>
      <c r="C11" s="418" t="s">
        <v>77</v>
      </c>
      <c r="D11" s="418"/>
      <c r="E11" s="418"/>
      <c r="F11" s="418"/>
      <c r="G11" s="418"/>
      <c r="H11" s="418"/>
      <c r="I11" s="418"/>
      <c r="J11" s="415"/>
      <c r="K11" s="416"/>
      <c r="M11" s="144"/>
      <c r="N11" s="130"/>
      <c r="O11" s="130"/>
      <c r="P11" s="135" t="s">
        <v>139</v>
      </c>
      <c r="Q11" s="135" t="s">
        <v>140</v>
      </c>
      <c r="R11" s="145"/>
      <c r="S11" s="135"/>
    </row>
    <row r="12" spans="1:34" s="46" customFormat="1" ht="14.25" customHeight="1">
      <c r="A12" s="94"/>
      <c r="B12" s="45"/>
      <c r="C12" s="418" t="s">
        <v>78</v>
      </c>
      <c r="D12" s="418"/>
      <c r="E12" s="418"/>
      <c r="F12" s="418"/>
      <c r="G12" s="418"/>
      <c r="H12" s="418"/>
      <c r="I12" s="418"/>
      <c r="J12" s="415"/>
      <c r="K12" s="416"/>
      <c r="M12" s="135"/>
      <c r="N12" s="130"/>
      <c r="O12" s="130"/>
      <c r="P12" s="137"/>
      <c r="Q12" s="137"/>
      <c r="R12" s="138">
        <f>P12*Q12*0.03*0.7*0.85/1000</f>
        <v>0</v>
      </c>
      <c r="S12" s="138">
        <f>M11+R12</f>
        <v>0</v>
      </c>
    </row>
    <row r="13" spans="1:34" s="46" customFormat="1" ht="16.5" customHeight="1">
      <c r="A13" s="94"/>
      <c r="B13" s="45"/>
      <c r="C13" s="418" t="s">
        <v>79</v>
      </c>
      <c r="D13" s="418"/>
      <c r="E13" s="418"/>
      <c r="F13" s="418"/>
      <c r="G13" s="418"/>
      <c r="H13" s="418"/>
      <c r="I13" s="418"/>
      <c r="J13" s="440" t="s">
        <v>80</v>
      </c>
      <c r="K13" s="441"/>
      <c r="M13" s="139"/>
      <c r="N13" s="139"/>
      <c r="O13" s="139"/>
      <c r="P13" s="139"/>
      <c r="Q13" s="139"/>
      <c r="R13" s="139"/>
      <c r="S13" s="135"/>
    </row>
    <row r="14" spans="1:34" s="46" customFormat="1" ht="16.5" customHeight="1">
      <c r="A14" s="94"/>
      <c r="B14" s="45"/>
      <c r="C14" s="418" t="s">
        <v>1069</v>
      </c>
      <c r="D14" s="418"/>
      <c r="E14" s="418"/>
      <c r="F14" s="418"/>
      <c r="G14" s="418"/>
      <c r="H14" s="418"/>
      <c r="I14" s="418"/>
      <c r="J14" s="473" t="s">
        <v>81</v>
      </c>
      <c r="K14" s="474"/>
      <c r="M14" s="135"/>
      <c r="N14" s="135"/>
      <c r="O14" s="472" t="s">
        <v>141</v>
      </c>
      <c r="P14" s="472"/>
      <c r="Q14" s="472"/>
      <c r="R14" s="472"/>
      <c r="S14" s="140">
        <f>N6-S12</f>
        <v>52000</v>
      </c>
    </row>
    <row r="15" spans="1:34" s="46" customFormat="1" ht="15.75" customHeight="1">
      <c r="A15" s="94"/>
      <c r="B15" s="45"/>
      <c r="C15" s="418" t="s">
        <v>1070</v>
      </c>
      <c r="D15" s="418"/>
      <c r="E15" s="418"/>
      <c r="F15" s="418"/>
      <c r="G15" s="418"/>
      <c r="H15" s="418"/>
      <c r="I15" s="418"/>
      <c r="J15" s="458" t="s">
        <v>82</v>
      </c>
      <c r="K15" s="459"/>
      <c r="M15" s="135"/>
      <c r="N15" s="135"/>
      <c r="O15" s="135"/>
      <c r="P15" s="135"/>
      <c r="Q15" s="135"/>
      <c r="R15" s="135"/>
      <c r="S15" s="135"/>
      <c r="X15" s="415"/>
      <c r="Y15" s="415"/>
      <c r="Z15" s="415"/>
      <c r="AA15" s="415"/>
      <c r="AB15" s="415"/>
      <c r="AC15" s="415"/>
      <c r="AD15" s="415"/>
      <c r="AE15" s="415"/>
      <c r="AF15" s="415"/>
      <c r="AG15" s="415"/>
      <c r="AH15" s="415"/>
    </row>
    <row r="16" spans="1:34" s="46" customFormat="1" ht="16.5" customHeight="1">
      <c r="A16" s="94"/>
      <c r="B16" s="45"/>
      <c r="C16" s="418" t="s">
        <v>924</v>
      </c>
      <c r="D16" s="418"/>
      <c r="E16" s="418"/>
      <c r="F16" s="418"/>
      <c r="G16" s="418"/>
      <c r="H16" s="418"/>
      <c r="I16" s="418"/>
      <c r="J16" s="466" t="s">
        <v>469</v>
      </c>
      <c r="K16" s="467"/>
      <c r="M16" s="135"/>
      <c r="N16" s="141"/>
      <c r="O16" s="141"/>
      <c r="P16" s="135"/>
      <c r="Q16" s="135"/>
      <c r="R16" s="135"/>
      <c r="S16" s="135"/>
      <c r="X16" s="415"/>
      <c r="Y16" s="415"/>
      <c r="Z16" s="415"/>
      <c r="AA16" s="415"/>
      <c r="AB16" s="415"/>
      <c r="AC16" s="415"/>
      <c r="AD16" s="415"/>
      <c r="AE16" s="415"/>
      <c r="AF16" s="415"/>
      <c r="AG16" s="415"/>
      <c r="AH16" s="415"/>
    </row>
    <row r="17" spans="1:27" s="46" customFormat="1" ht="16.5" customHeight="1">
      <c r="A17" s="94"/>
      <c r="B17" s="45"/>
      <c r="C17" s="429" t="s">
        <v>925</v>
      </c>
      <c r="D17" s="429"/>
      <c r="E17" s="429"/>
      <c r="F17" s="354" t="s">
        <v>926</v>
      </c>
      <c r="G17" s="42" t="s">
        <v>927</v>
      </c>
      <c r="H17" s="354" t="s">
        <v>928</v>
      </c>
      <c r="I17" s="42" t="s">
        <v>465</v>
      </c>
      <c r="J17" s="460"/>
      <c r="K17" s="461"/>
      <c r="M17" s="135"/>
      <c r="N17" s="141"/>
      <c r="O17" s="141"/>
      <c r="P17" s="135"/>
      <c r="Q17" s="135"/>
      <c r="R17" s="135"/>
      <c r="S17" s="135"/>
      <c r="X17" s="44"/>
      <c r="Y17" s="44"/>
      <c r="Z17" s="44"/>
      <c r="AA17" s="44"/>
    </row>
    <row r="18" spans="1:27" s="46" customFormat="1" ht="12" customHeight="1">
      <c r="A18" s="94"/>
      <c r="B18" s="45"/>
      <c r="C18" s="417" t="s">
        <v>127</v>
      </c>
      <c r="D18" s="417"/>
      <c r="E18" s="417"/>
      <c r="F18" s="45"/>
      <c r="G18" s="45"/>
      <c r="H18" s="45"/>
      <c r="I18" s="45"/>
      <c r="J18" s="415"/>
      <c r="K18" s="416"/>
      <c r="M18" s="135"/>
      <c r="N18" s="142"/>
      <c r="O18" s="142"/>
      <c r="P18" s="135"/>
      <c r="Q18" s="135"/>
      <c r="R18" s="146"/>
      <c r="S18" s="135"/>
      <c r="X18" s="44"/>
      <c r="Y18" s="44"/>
      <c r="Z18" s="44"/>
      <c r="AA18" s="44"/>
    </row>
    <row r="19" spans="1:27" s="46" customFormat="1" ht="12" customHeight="1">
      <c r="A19" s="447"/>
      <c r="B19" s="407"/>
      <c r="C19" s="407"/>
      <c r="D19" s="415"/>
      <c r="E19" s="415"/>
      <c r="F19" s="45"/>
      <c r="G19" s="97"/>
      <c r="H19" s="97"/>
      <c r="I19" s="97"/>
      <c r="J19" s="415"/>
      <c r="K19" s="416"/>
      <c r="M19" s="135"/>
      <c r="N19" s="141"/>
      <c r="O19" s="141"/>
      <c r="P19" s="135"/>
      <c r="Q19" s="135"/>
      <c r="R19" s="146"/>
      <c r="S19" s="135"/>
      <c r="X19" s="44"/>
      <c r="Y19" s="44"/>
      <c r="Z19" s="44"/>
      <c r="AA19" s="44"/>
    </row>
    <row r="20" spans="1:27" s="46" customFormat="1" ht="12" customHeight="1">
      <c r="A20" s="109"/>
      <c r="B20" s="407" t="s">
        <v>126</v>
      </c>
      <c r="C20" s="407"/>
      <c r="D20" s="407"/>
      <c r="E20" s="415"/>
      <c r="F20" s="415"/>
      <c r="G20" s="407" t="s">
        <v>89</v>
      </c>
      <c r="H20" s="407"/>
      <c r="I20" s="407"/>
      <c r="J20" s="415"/>
      <c r="K20" s="416"/>
      <c r="M20" s="135"/>
      <c r="N20" s="141"/>
      <c r="O20" s="141"/>
      <c r="P20" s="135"/>
      <c r="Q20" s="135"/>
      <c r="R20" s="146"/>
      <c r="S20" s="135"/>
      <c r="X20" s="44"/>
      <c r="Y20" s="44"/>
      <c r="Z20" s="44"/>
      <c r="AA20" s="44"/>
    </row>
    <row r="21" spans="1:27" s="46" customFormat="1" ht="12" customHeight="1">
      <c r="A21" s="109"/>
      <c r="B21" s="407" t="s">
        <v>83</v>
      </c>
      <c r="C21" s="407"/>
      <c r="D21" s="407"/>
      <c r="E21" s="415"/>
      <c r="F21" s="415"/>
      <c r="G21" s="407" t="s">
        <v>84</v>
      </c>
      <c r="H21" s="407"/>
      <c r="I21" s="407"/>
      <c r="J21" s="415"/>
      <c r="K21" s="416"/>
      <c r="M21" s="126" t="b">
        <f>M53=' PACKING LIST'!D59</f>
        <v>0</v>
      </c>
      <c r="N21" s="126" t="b">
        <f>N53=' PACKING LIST'!E59</f>
        <v>0</v>
      </c>
      <c r="O21" s="126" t="b">
        <f>O53=' PACKING LIST'!I59</f>
        <v>0</v>
      </c>
      <c r="P21" s="194"/>
      <c r="Q21" s="127"/>
      <c r="R21" s="147"/>
      <c r="S21" s="147"/>
      <c r="X21" s="44"/>
      <c r="Y21" s="44"/>
      <c r="Z21" s="44"/>
      <c r="AA21" s="44"/>
    </row>
    <row r="22" spans="1:27" s="46" customFormat="1" ht="12" customHeight="1">
      <c r="A22" s="94"/>
      <c r="B22" s="45"/>
      <c r="C22" s="45"/>
      <c r="D22" s="45"/>
      <c r="E22" s="45"/>
      <c r="F22" s="45"/>
      <c r="G22" s="45"/>
      <c r="H22" s="45"/>
      <c r="I22" s="45"/>
      <c r="J22" s="452"/>
      <c r="K22" s="453"/>
      <c r="M22" s="127"/>
      <c r="N22" s="128"/>
      <c r="O22" s="128"/>
      <c r="P22" s="127"/>
      <c r="Q22" s="127"/>
      <c r="R22" s="148"/>
      <c r="S22" s="148"/>
      <c r="X22" s="44"/>
      <c r="Y22" s="44"/>
      <c r="Z22" s="44"/>
      <c r="AA22" s="44"/>
    </row>
    <row r="23" spans="1:27" s="49" customFormat="1" ht="27.75" customHeight="1">
      <c r="A23" s="412" t="s">
        <v>90</v>
      </c>
      <c r="B23" s="413"/>
      <c r="C23" s="413"/>
      <c r="D23" s="412" t="s">
        <v>91</v>
      </c>
      <c r="E23" s="414"/>
      <c r="F23" s="412" t="s">
        <v>92</v>
      </c>
      <c r="G23" s="413"/>
      <c r="H23" s="414"/>
      <c r="I23" s="412" t="s">
        <v>93</v>
      </c>
      <c r="J23" s="413"/>
      <c r="K23" s="414"/>
      <c r="M23" s="133" t="s">
        <v>133</v>
      </c>
      <c r="N23" s="134" t="s">
        <v>134</v>
      </c>
      <c r="O23" s="134" t="s">
        <v>118</v>
      </c>
      <c r="P23" s="133"/>
      <c r="Q23" s="149"/>
      <c r="R23" s="147"/>
      <c r="S23" s="147"/>
      <c r="X23" s="50"/>
      <c r="Y23" s="50"/>
      <c r="Z23" s="50"/>
      <c r="AA23" s="51"/>
    </row>
    <row r="24" spans="1:27" s="52" customFormat="1" ht="38.25" customHeight="1">
      <c r="A24" s="110" t="s">
        <v>94</v>
      </c>
      <c r="B24" s="110" t="s">
        <v>95</v>
      </c>
      <c r="C24" s="110" t="s">
        <v>96</v>
      </c>
      <c r="D24" s="110" t="s">
        <v>392</v>
      </c>
      <c r="E24" s="110" t="s">
        <v>389</v>
      </c>
      <c r="F24" s="110" t="s">
        <v>387</v>
      </c>
      <c r="G24" s="111" t="s">
        <v>386</v>
      </c>
      <c r="H24" s="112" t="s">
        <v>388</v>
      </c>
      <c r="I24" s="113" t="s">
        <v>95</v>
      </c>
      <c r="J24" s="448" t="s">
        <v>97</v>
      </c>
      <c r="K24" s="449"/>
      <c r="M24" s="129"/>
      <c r="N24" s="129"/>
      <c r="O24" s="129"/>
      <c r="P24" s="129"/>
      <c r="Q24" s="129"/>
      <c r="R24" s="148"/>
      <c r="S24" s="148"/>
      <c r="X24" s="43"/>
      <c r="Y24" s="43"/>
      <c r="Z24" s="43"/>
      <c r="AA24" s="43"/>
    </row>
    <row r="25" spans="1:27" s="47" customFormat="1" ht="15" customHeight="1">
      <c r="A25" s="99">
        <v>1</v>
      </c>
      <c r="B25" s="98">
        <v>1</v>
      </c>
      <c r="C25" s="99" t="s">
        <v>85</v>
      </c>
      <c r="D25" s="100">
        <v>173000</v>
      </c>
      <c r="E25" s="100">
        <v>173000</v>
      </c>
      <c r="F25" s="100">
        <v>9300</v>
      </c>
      <c r="G25" s="100">
        <v>3200</v>
      </c>
      <c r="H25" s="101">
        <v>4600</v>
      </c>
      <c r="I25" s="102">
        <v>1</v>
      </c>
      <c r="J25" s="450" t="s">
        <v>103</v>
      </c>
      <c r="K25" s="451"/>
      <c r="M25" s="130">
        <f t="shared" ref="M25:M49" si="0">B25*D25</f>
        <v>173000</v>
      </c>
      <c r="N25" s="130">
        <f t="shared" ref="N25:N49" si="1">B25*E25</f>
        <v>173000</v>
      </c>
      <c r="O25" s="130">
        <f>B25*F25*G25*H25/1000000000</f>
        <v>136.89599999999999</v>
      </c>
      <c r="P25" s="137"/>
      <c r="Q25" s="130"/>
      <c r="R25" s="271"/>
      <c r="S25" s="271"/>
      <c r="X25" s="219"/>
      <c r="Y25" s="219"/>
      <c r="Z25" s="219"/>
      <c r="AA25" s="272"/>
    </row>
    <row r="26" spans="1:27" s="273" customFormat="1" ht="15" customHeight="1">
      <c r="A26" s="99"/>
      <c r="B26" s="187"/>
      <c r="C26" s="99"/>
      <c r="D26" s="187"/>
      <c r="E26" s="187"/>
      <c r="F26" s="187"/>
      <c r="G26" s="187"/>
      <c r="H26" s="188"/>
      <c r="I26" s="189"/>
      <c r="J26" s="410"/>
      <c r="K26" s="411"/>
      <c r="M26" s="130">
        <f t="shared" si="0"/>
        <v>0</v>
      </c>
      <c r="N26" s="130">
        <f t="shared" si="1"/>
        <v>0</v>
      </c>
      <c r="O26" s="130">
        <f t="shared" ref="O26" si="2">B26*F26*G26*H26/1000000000</f>
        <v>0</v>
      </c>
      <c r="P26" s="137"/>
      <c r="Q26" s="139"/>
      <c r="R26" s="274"/>
      <c r="S26" s="274"/>
      <c r="X26" s="275"/>
      <c r="Y26" s="275"/>
      <c r="Z26" s="275"/>
      <c r="AA26" s="275"/>
    </row>
    <row r="27" spans="1:27" s="273" customFormat="1" ht="15" customHeight="1">
      <c r="A27" s="99" t="s">
        <v>465</v>
      </c>
      <c r="B27" s="187">
        <v>1</v>
      </c>
      <c r="C27" s="99" t="s">
        <v>466</v>
      </c>
      <c r="D27" s="187">
        <v>1450</v>
      </c>
      <c r="E27" s="187">
        <v>1600</v>
      </c>
      <c r="F27" s="187">
        <v>2100</v>
      </c>
      <c r="G27" s="187">
        <v>1000</v>
      </c>
      <c r="H27" s="188">
        <v>850</v>
      </c>
      <c r="I27" s="189">
        <v>4</v>
      </c>
      <c r="J27" s="410" t="s">
        <v>535</v>
      </c>
      <c r="K27" s="411"/>
      <c r="M27" s="130">
        <f t="shared" si="0"/>
        <v>1450</v>
      </c>
      <c r="N27" s="130">
        <f t="shared" si="1"/>
        <v>1600</v>
      </c>
      <c r="O27" s="130">
        <f>B27*F27*G27*H27/1000000000</f>
        <v>1.7849999999999999</v>
      </c>
      <c r="P27" s="137"/>
      <c r="Q27" s="139"/>
      <c r="R27" s="139"/>
      <c r="S27" s="139"/>
    </row>
    <row r="28" spans="1:27" s="273" customFormat="1" ht="15" customHeight="1">
      <c r="A28" s="99" t="s">
        <v>467</v>
      </c>
      <c r="B28" s="187">
        <v>1</v>
      </c>
      <c r="C28" s="99" t="s">
        <v>466</v>
      </c>
      <c r="D28" s="187">
        <v>1200</v>
      </c>
      <c r="E28" s="187">
        <v>1500</v>
      </c>
      <c r="F28" s="187">
        <v>3050</v>
      </c>
      <c r="G28" s="187">
        <v>900</v>
      </c>
      <c r="H28" s="188">
        <v>800</v>
      </c>
      <c r="I28" s="189">
        <v>2</v>
      </c>
      <c r="J28" s="410" t="s">
        <v>912</v>
      </c>
      <c r="K28" s="411"/>
      <c r="M28" s="130">
        <f t="shared" si="0"/>
        <v>1200</v>
      </c>
      <c r="N28" s="130">
        <f t="shared" si="1"/>
        <v>1500</v>
      </c>
      <c r="O28" s="130">
        <f t="shared" ref="O28:O49" si="3">B28*F28*G28*H28/1000000000</f>
        <v>2.1960000000000002</v>
      </c>
      <c r="P28" s="137"/>
      <c r="Q28" s="139"/>
      <c r="R28" s="139"/>
      <c r="S28" s="139"/>
    </row>
    <row r="29" spans="1:27" s="273" customFormat="1" ht="15" customHeight="1">
      <c r="A29" s="190" t="s">
        <v>566</v>
      </c>
      <c r="B29" s="187">
        <v>1</v>
      </c>
      <c r="C29" s="99" t="s">
        <v>466</v>
      </c>
      <c r="D29" s="187">
        <v>1400</v>
      </c>
      <c r="E29" s="187">
        <v>1700</v>
      </c>
      <c r="F29" s="187">
        <v>3050</v>
      </c>
      <c r="G29" s="187">
        <v>1000</v>
      </c>
      <c r="H29" s="188">
        <v>800</v>
      </c>
      <c r="I29" s="189">
        <v>1</v>
      </c>
      <c r="J29" s="410" t="s">
        <v>913</v>
      </c>
      <c r="K29" s="411"/>
      <c r="M29" s="130">
        <f t="shared" si="0"/>
        <v>1400</v>
      </c>
      <c r="N29" s="130">
        <f t="shared" si="1"/>
        <v>1700</v>
      </c>
      <c r="O29" s="130">
        <f t="shared" si="3"/>
        <v>2.44</v>
      </c>
      <c r="P29" s="137"/>
      <c r="Q29" s="139"/>
      <c r="R29" s="139"/>
      <c r="S29" s="139"/>
      <c r="X29" s="275"/>
      <c r="Y29" s="275"/>
      <c r="Z29" s="275"/>
      <c r="AA29" s="275"/>
    </row>
    <row r="30" spans="1:27" s="273" customFormat="1" ht="15" customHeight="1">
      <c r="A30" s="190" t="s">
        <v>567</v>
      </c>
      <c r="B30" s="187">
        <v>1</v>
      </c>
      <c r="C30" s="99" t="s">
        <v>466</v>
      </c>
      <c r="D30" s="187">
        <v>2200</v>
      </c>
      <c r="E30" s="187">
        <v>2700</v>
      </c>
      <c r="F30" s="187">
        <v>4600</v>
      </c>
      <c r="G30" s="187">
        <v>1850</v>
      </c>
      <c r="H30" s="188">
        <v>2600</v>
      </c>
      <c r="I30" s="189">
        <v>1</v>
      </c>
      <c r="J30" s="410" t="s">
        <v>536</v>
      </c>
      <c r="K30" s="411"/>
      <c r="M30" s="130">
        <f t="shared" si="0"/>
        <v>2200</v>
      </c>
      <c r="N30" s="130">
        <f t="shared" si="1"/>
        <v>2700</v>
      </c>
      <c r="O30" s="130">
        <f t="shared" si="3"/>
        <v>22.126000000000001</v>
      </c>
      <c r="P30" s="137"/>
      <c r="Q30" s="139"/>
      <c r="R30" s="139"/>
      <c r="S30" s="139"/>
    </row>
    <row r="31" spans="1:27" s="273" customFormat="1" ht="15" customHeight="1">
      <c r="A31" s="190" t="s">
        <v>568</v>
      </c>
      <c r="B31" s="187">
        <v>2</v>
      </c>
      <c r="C31" s="99" t="s">
        <v>466</v>
      </c>
      <c r="D31" s="187">
        <v>1100</v>
      </c>
      <c r="E31" s="187">
        <v>1400</v>
      </c>
      <c r="F31" s="195">
        <v>2850</v>
      </c>
      <c r="G31" s="195">
        <v>1700</v>
      </c>
      <c r="H31" s="196">
        <v>1375</v>
      </c>
      <c r="I31" s="189">
        <v>2</v>
      </c>
      <c r="J31" s="410" t="s">
        <v>537</v>
      </c>
      <c r="K31" s="411"/>
      <c r="M31" s="130">
        <f t="shared" si="0"/>
        <v>2200</v>
      </c>
      <c r="N31" s="130">
        <f t="shared" si="1"/>
        <v>2800</v>
      </c>
      <c r="O31" s="130">
        <f t="shared" si="3"/>
        <v>13.32375</v>
      </c>
      <c r="P31" s="137"/>
      <c r="Q31" s="139"/>
      <c r="R31" s="139"/>
      <c r="S31" s="139"/>
    </row>
    <row r="32" spans="1:27" s="273" customFormat="1" ht="15" customHeight="1">
      <c r="A32" s="190" t="s">
        <v>569</v>
      </c>
      <c r="B32" s="187">
        <v>8</v>
      </c>
      <c r="C32" s="99" t="s">
        <v>466</v>
      </c>
      <c r="D32" s="187">
        <v>1650</v>
      </c>
      <c r="E32" s="187">
        <v>2100</v>
      </c>
      <c r="F32" s="195">
        <v>2850</v>
      </c>
      <c r="G32" s="195">
        <v>1700</v>
      </c>
      <c r="H32" s="196">
        <v>1925</v>
      </c>
      <c r="I32" s="189">
        <v>3</v>
      </c>
      <c r="J32" s="410" t="s">
        <v>537</v>
      </c>
      <c r="K32" s="411"/>
      <c r="M32" s="130">
        <f t="shared" si="0"/>
        <v>13200</v>
      </c>
      <c r="N32" s="130">
        <f t="shared" si="1"/>
        <v>16800</v>
      </c>
      <c r="O32" s="130">
        <f t="shared" si="3"/>
        <v>74.613</v>
      </c>
      <c r="P32" s="137"/>
      <c r="Q32" s="139"/>
      <c r="R32" s="139"/>
      <c r="S32" s="139"/>
      <c r="X32" s="275"/>
      <c r="Y32" s="275"/>
      <c r="Z32" s="275"/>
      <c r="AA32" s="275"/>
    </row>
    <row r="33" spans="1:27" s="273" customFormat="1" ht="15" customHeight="1">
      <c r="A33" s="190" t="s">
        <v>570</v>
      </c>
      <c r="B33" s="187">
        <v>2</v>
      </c>
      <c r="C33" s="99" t="s">
        <v>466</v>
      </c>
      <c r="D33" s="187">
        <v>315</v>
      </c>
      <c r="E33" s="187">
        <v>700</v>
      </c>
      <c r="F33" s="187">
        <v>3650</v>
      </c>
      <c r="G33" s="187">
        <v>1350</v>
      </c>
      <c r="H33" s="188">
        <v>950</v>
      </c>
      <c r="I33" s="189">
        <v>3</v>
      </c>
      <c r="J33" s="410" t="s">
        <v>538</v>
      </c>
      <c r="K33" s="411"/>
      <c r="M33" s="130">
        <f t="shared" si="0"/>
        <v>630</v>
      </c>
      <c r="N33" s="130">
        <f t="shared" si="1"/>
        <v>1400</v>
      </c>
      <c r="O33" s="130">
        <f t="shared" si="3"/>
        <v>9.3622499999999995</v>
      </c>
      <c r="P33" s="137"/>
      <c r="Q33" s="139"/>
      <c r="R33" s="139"/>
      <c r="S33" s="139"/>
    </row>
    <row r="34" spans="1:27" s="273" customFormat="1" ht="15" customHeight="1">
      <c r="A34" s="190" t="s">
        <v>571</v>
      </c>
      <c r="B34" s="187">
        <v>2</v>
      </c>
      <c r="C34" s="99" t="s">
        <v>466</v>
      </c>
      <c r="D34" s="187">
        <v>420</v>
      </c>
      <c r="E34" s="187">
        <v>950</v>
      </c>
      <c r="F34" s="187">
        <v>4800</v>
      </c>
      <c r="G34" s="187">
        <v>1350</v>
      </c>
      <c r="H34" s="188">
        <v>950</v>
      </c>
      <c r="I34" s="276">
        <v>4</v>
      </c>
      <c r="J34" s="410" t="s">
        <v>538</v>
      </c>
      <c r="K34" s="411"/>
      <c r="M34" s="130">
        <f t="shared" si="0"/>
        <v>840</v>
      </c>
      <c r="N34" s="130">
        <f t="shared" si="1"/>
        <v>1900</v>
      </c>
      <c r="O34" s="130">
        <f t="shared" si="3"/>
        <v>12.311999999999999</v>
      </c>
      <c r="P34" s="137"/>
      <c r="Q34" s="139"/>
      <c r="R34" s="139"/>
      <c r="S34" s="139"/>
    </row>
    <row r="35" spans="1:27" s="273" customFormat="1" ht="15" customHeight="1">
      <c r="A35" s="190" t="s">
        <v>572</v>
      </c>
      <c r="B35" s="187">
        <v>1</v>
      </c>
      <c r="C35" s="99" t="s">
        <v>466</v>
      </c>
      <c r="D35" s="187">
        <v>700</v>
      </c>
      <c r="E35" s="187">
        <v>900</v>
      </c>
      <c r="F35" s="376">
        <v>2000</v>
      </c>
      <c r="G35" s="376">
        <v>1550</v>
      </c>
      <c r="H35" s="377">
        <v>2000</v>
      </c>
      <c r="I35" s="189">
        <v>2</v>
      </c>
      <c r="J35" s="410" t="s">
        <v>575</v>
      </c>
      <c r="K35" s="411"/>
      <c r="M35" s="130">
        <f t="shared" si="0"/>
        <v>700</v>
      </c>
      <c r="N35" s="130">
        <f t="shared" si="1"/>
        <v>900</v>
      </c>
      <c r="O35" s="130">
        <f t="shared" si="3"/>
        <v>6.2</v>
      </c>
      <c r="P35" s="137"/>
      <c r="Q35" s="139"/>
      <c r="R35" s="139"/>
      <c r="S35" s="139"/>
    </row>
    <row r="36" spans="1:27" s="273" customFormat="1" ht="15" customHeight="1">
      <c r="A36" s="99" t="s">
        <v>573</v>
      </c>
      <c r="B36" s="98">
        <v>1</v>
      </c>
      <c r="C36" s="99" t="s">
        <v>466</v>
      </c>
      <c r="D36" s="98">
        <v>350</v>
      </c>
      <c r="E36" s="98">
        <v>450</v>
      </c>
      <c r="F36" s="378">
        <v>1900</v>
      </c>
      <c r="G36" s="378">
        <v>1250</v>
      </c>
      <c r="H36" s="379">
        <v>1800</v>
      </c>
      <c r="I36" s="102">
        <v>2</v>
      </c>
      <c r="J36" s="410" t="s">
        <v>576</v>
      </c>
      <c r="K36" s="411"/>
      <c r="M36" s="130">
        <f t="shared" si="0"/>
        <v>350</v>
      </c>
      <c r="N36" s="130">
        <f t="shared" si="1"/>
        <v>450</v>
      </c>
      <c r="O36" s="130">
        <f t="shared" si="3"/>
        <v>4.2750000000000004</v>
      </c>
      <c r="P36" s="137"/>
      <c r="Q36" s="139"/>
      <c r="R36" s="139"/>
      <c r="S36" s="139"/>
    </row>
    <row r="37" spans="1:27" s="273" customFormat="1" ht="15" customHeight="1">
      <c r="A37" s="99" t="s">
        <v>574</v>
      </c>
      <c r="B37" s="98">
        <v>1</v>
      </c>
      <c r="C37" s="99" t="s">
        <v>466</v>
      </c>
      <c r="D37" s="98">
        <v>1700</v>
      </c>
      <c r="E37" s="98">
        <v>2200</v>
      </c>
      <c r="F37" s="98">
        <v>5000</v>
      </c>
      <c r="G37" s="98">
        <v>1300</v>
      </c>
      <c r="H37" s="103">
        <v>1200</v>
      </c>
      <c r="I37" s="102">
        <v>40</v>
      </c>
      <c r="J37" s="410" t="s">
        <v>539</v>
      </c>
      <c r="K37" s="411"/>
      <c r="M37" s="130">
        <f t="shared" si="0"/>
        <v>1700</v>
      </c>
      <c r="N37" s="130">
        <f t="shared" si="1"/>
        <v>2200</v>
      </c>
      <c r="O37" s="130">
        <f t="shared" si="3"/>
        <v>7.8</v>
      </c>
      <c r="P37" s="137"/>
      <c r="Q37" s="139"/>
      <c r="R37" s="139"/>
      <c r="S37" s="139"/>
      <c r="X37" s="275"/>
      <c r="Y37" s="275"/>
      <c r="Z37" s="275"/>
      <c r="AA37" s="275"/>
    </row>
    <row r="38" spans="1:27" s="273" customFormat="1" ht="15" customHeight="1">
      <c r="A38" s="99" t="s">
        <v>577</v>
      </c>
      <c r="B38" s="195">
        <v>1</v>
      </c>
      <c r="C38" s="99" t="s">
        <v>466</v>
      </c>
      <c r="D38" s="195">
        <v>800</v>
      </c>
      <c r="E38" s="195">
        <v>1300</v>
      </c>
      <c r="F38" s="195">
        <v>5100</v>
      </c>
      <c r="G38" s="195">
        <v>1300</v>
      </c>
      <c r="H38" s="196">
        <v>1300</v>
      </c>
      <c r="I38" s="197" t="s">
        <v>579</v>
      </c>
      <c r="J38" s="410" t="s">
        <v>540</v>
      </c>
      <c r="K38" s="411"/>
      <c r="M38" s="130">
        <f t="shared" si="0"/>
        <v>800</v>
      </c>
      <c r="N38" s="130">
        <f t="shared" si="1"/>
        <v>1300</v>
      </c>
      <c r="O38" s="130">
        <f t="shared" si="3"/>
        <v>8.6189999999999998</v>
      </c>
      <c r="P38" s="137"/>
      <c r="Q38" s="139"/>
      <c r="R38" s="139"/>
      <c r="S38" s="139"/>
      <c r="X38" s="275"/>
      <c r="Y38" s="275"/>
      <c r="Z38" s="275"/>
      <c r="AA38" s="275"/>
    </row>
    <row r="39" spans="1:27" s="273" customFormat="1" ht="15" customHeight="1">
      <c r="A39" s="99" t="s">
        <v>578</v>
      </c>
      <c r="B39" s="195">
        <v>1</v>
      </c>
      <c r="C39" s="99" t="s">
        <v>466</v>
      </c>
      <c r="D39" s="195">
        <v>800</v>
      </c>
      <c r="E39" s="195">
        <v>1000</v>
      </c>
      <c r="F39" s="195">
        <v>3050</v>
      </c>
      <c r="G39" s="195">
        <v>1000</v>
      </c>
      <c r="H39" s="196">
        <v>900</v>
      </c>
      <c r="I39" s="197" t="s">
        <v>776</v>
      </c>
      <c r="J39" s="408" t="s">
        <v>862</v>
      </c>
      <c r="K39" s="409"/>
      <c r="M39" s="130">
        <f t="shared" si="0"/>
        <v>800</v>
      </c>
      <c r="N39" s="130">
        <f t="shared" si="1"/>
        <v>1000</v>
      </c>
      <c r="O39" s="130">
        <f t="shared" si="3"/>
        <v>2.7450000000000001</v>
      </c>
      <c r="P39" s="137"/>
      <c r="Q39" s="139"/>
      <c r="R39" s="139"/>
      <c r="S39" s="139"/>
      <c r="X39" s="275"/>
      <c r="Y39" s="275"/>
      <c r="Z39" s="275"/>
      <c r="AA39" s="275"/>
    </row>
    <row r="40" spans="1:27" s="273" customFormat="1" ht="15" customHeight="1">
      <c r="A40" s="99" t="s">
        <v>1075</v>
      </c>
      <c r="B40" s="98">
        <v>3</v>
      </c>
      <c r="C40" s="215" t="s">
        <v>470</v>
      </c>
      <c r="D40" s="98">
        <v>315</v>
      </c>
      <c r="E40" s="98">
        <v>438</v>
      </c>
      <c r="F40" s="98">
        <v>4500</v>
      </c>
      <c r="G40" s="98">
        <v>600</v>
      </c>
      <c r="H40" s="103">
        <v>700</v>
      </c>
      <c r="I40" s="102">
        <v>1</v>
      </c>
      <c r="J40" s="410" t="s">
        <v>542</v>
      </c>
      <c r="K40" s="411"/>
      <c r="M40" s="130">
        <f t="shared" si="0"/>
        <v>945</v>
      </c>
      <c r="N40" s="130">
        <f t="shared" si="1"/>
        <v>1314</v>
      </c>
      <c r="O40" s="130">
        <f t="shared" si="3"/>
        <v>5.67</v>
      </c>
      <c r="P40" s="137"/>
      <c r="Q40" s="139"/>
      <c r="R40" s="139"/>
      <c r="S40" s="139"/>
      <c r="X40" s="275"/>
      <c r="Y40" s="275"/>
      <c r="Z40" s="275"/>
      <c r="AA40" s="275"/>
    </row>
    <row r="41" spans="1:27" s="273" customFormat="1" ht="15" customHeight="1">
      <c r="A41" s="99" t="s">
        <v>1076</v>
      </c>
      <c r="B41" s="98">
        <v>1</v>
      </c>
      <c r="C41" s="215" t="s">
        <v>470</v>
      </c>
      <c r="D41" s="98">
        <v>295</v>
      </c>
      <c r="E41" s="98">
        <v>395</v>
      </c>
      <c r="F41" s="98">
        <v>3900</v>
      </c>
      <c r="G41" s="98">
        <v>600</v>
      </c>
      <c r="H41" s="103">
        <v>700</v>
      </c>
      <c r="I41" s="102">
        <v>1</v>
      </c>
      <c r="J41" s="410" t="s">
        <v>752</v>
      </c>
      <c r="K41" s="411"/>
      <c r="M41" s="130">
        <f t="shared" si="0"/>
        <v>295</v>
      </c>
      <c r="N41" s="130">
        <f t="shared" si="1"/>
        <v>395</v>
      </c>
      <c r="O41" s="130">
        <f t="shared" si="3"/>
        <v>1.6379999999999999</v>
      </c>
      <c r="P41" s="137"/>
      <c r="Q41" s="139"/>
      <c r="R41" s="139"/>
      <c r="S41" s="139"/>
      <c r="X41" s="275"/>
      <c r="Y41" s="275"/>
      <c r="Z41" s="275"/>
      <c r="AA41" s="275"/>
    </row>
    <row r="42" spans="1:27" s="273" customFormat="1" ht="15" customHeight="1">
      <c r="A42" s="99" t="s">
        <v>1077</v>
      </c>
      <c r="B42" s="187">
        <v>1</v>
      </c>
      <c r="C42" s="215" t="s">
        <v>470</v>
      </c>
      <c r="D42" s="187">
        <v>180</v>
      </c>
      <c r="E42" s="187">
        <v>270</v>
      </c>
      <c r="F42" s="187">
        <v>2250</v>
      </c>
      <c r="G42" s="187">
        <v>1130</v>
      </c>
      <c r="H42" s="188">
        <v>600</v>
      </c>
      <c r="I42" s="189">
        <v>3</v>
      </c>
      <c r="J42" s="410" t="s">
        <v>541</v>
      </c>
      <c r="K42" s="411"/>
      <c r="M42" s="130">
        <f t="shared" si="0"/>
        <v>180</v>
      </c>
      <c r="N42" s="130">
        <f t="shared" si="1"/>
        <v>270</v>
      </c>
      <c r="O42" s="130">
        <f t="shared" si="3"/>
        <v>1.5255000000000001</v>
      </c>
      <c r="P42" s="137"/>
      <c r="Q42" s="139"/>
      <c r="R42" s="139"/>
      <c r="S42" s="139"/>
      <c r="X42" s="275"/>
      <c r="Y42" s="275"/>
      <c r="Z42" s="275"/>
      <c r="AA42" s="275"/>
    </row>
    <row r="43" spans="1:27" s="273" customFormat="1" ht="15" customHeight="1">
      <c r="A43" s="99" t="s">
        <v>863</v>
      </c>
      <c r="B43" s="187">
        <v>1</v>
      </c>
      <c r="C43" s="215" t="s">
        <v>470</v>
      </c>
      <c r="D43" s="187">
        <v>48</v>
      </c>
      <c r="E43" s="187">
        <v>91</v>
      </c>
      <c r="F43" s="187">
        <v>1700</v>
      </c>
      <c r="G43" s="187">
        <v>380</v>
      </c>
      <c r="H43" s="188">
        <v>580</v>
      </c>
      <c r="I43" s="189">
        <v>1</v>
      </c>
      <c r="J43" s="410" t="s">
        <v>753</v>
      </c>
      <c r="K43" s="411"/>
      <c r="M43" s="130">
        <f t="shared" si="0"/>
        <v>48</v>
      </c>
      <c r="N43" s="130">
        <f t="shared" si="1"/>
        <v>91</v>
      </c>
      <c r="O43" s="130">
        <f t="shared" si="3"/>
        <v>0.37468000000000001</v>
      </c>
      <c r="P43" s="137"/>
      <c r="Q43" s="139"/>
      <c r="R43" s="139"/>
      <c r="S43" s="139"/>
      <c r="X43" s="275"/>
      <c r="Y43" s="275"/>
      <c r="Z43" s="275"/>
      <c r="AA43" s="275"/>
    </row>
    <row r="44" spans="1:27" s="273" customFormat="1" ht="15" customHeight="1">
      <c r="A44" s="99" t="s">
        <v>1078</v>
      </c>
      <c r="B44" s="98">
        <v>4</v>
      </c>
      <c r="C44" s="215" t="s">
        <v>470</v>
      </c>
      <c r="D44" s="98">
        <v>60</v>
      </c>
      <c r="E44" s="98">
        <v>102</v>
      </c>
      <c r="F44" s="98">
        <v>1950</v>
      </c>
      <c r="G44" s="98">
        <v>450</v>
      </c>
      <c r="H44" s="103">
        <v>600</v>
      </c>
      <c r="I44" s="102">
        <v>1</v>
      </c>
      <c r="J44" s="410" t="s">
        <v>754</v>
      </c>
      <c r="K44" s="411"/>
      <c r="M44" s="130">
        <f t="shared" si="0"/>
        <v>240</v>
      </c>
      <c r="N44" s="130">
        <f t="shared" si="1"/>
        <v>408</v>
      </c>
      <c r="O44" s="130">
        <f t="shared" si="3"/>
        <v>2.1059999999999999</v>
      </c>
      <c r="P44" s="137"/>
      <c r="Q44" s="139"/>
      <c r="R44" s="139"/>
      <c r="S44" s="139"/>
      <c r="X44" s="275"/>
      <c r="Y44" s="275"/>
      <c r="Z44" s="275"/>
      <c r="AA44" s="275"/>
    </row>
    <row r="45" spans="1:27" s="273" customFormat="1" ht="15" customHeight="1">
      <c r="A45" s="375" t="s">
        <v>1079</v>
      </c>
      <c r="B45" s="195">
        <v>10</v>
      </c>
      <c r="C45" s="375" t="s">
        <v>1071</v>
      </c>
      <c r="D45" s="195">
        <v>728</v>
      </c>
      <c r="E45" s="195">
        <v>828</v>
      </c>
      <c r="F45" s="195">
        <v>1200</v>
      </c>
      <c r="G45" s="195">
        <v>1200</v>
      </c>
      <c r="H45" s="196">
        <v>1100</v>
      </c>
      <c r="I45" s="197">
        <v>4</v>
      </c>
      <c r="J45" s="464" t="s">
        <v>1072</v>
      </c>
      <c r="K45" s="465"/>
      <c r="M45" s="130">
        <f t="shared" si="0"/>
        <v>7280</v>
      </c>
      <c r="N45" s="130">
        <f t="shared" si="1"/>
        <v>8280</v>
      </c>
      <c r="O45" s="130">
        <f t="shared" si="3"/>
        <v>15.84</v>
      </c>
      <c r="P45" s="137"/>
      <c r="Q45" s="139"/>
      <c r="R45" s="139"/>
      <c r="S45" s="139"/>
      <c r="X45" s="275"/>
      <c r="Y45" s="275"/>
      <c r="Z45" s="275"/>
      <c r="AA45" s="275"/>
    </row>
    <row r="46" spans="1:27" s="273" customFormat="1" ht="15" customHeight="1">
      <c r="A46" s="375" t="s">
        <v>1085</v>
      </c>
      <c r="B46" s="195">
        <v>1</v>
      </c>
      <c r="C46" s="375" t="s">
        <v>466</v>
      </c>
      <c r="D46" s="195">
        <v>450</v>
      </c>
      <c r="E46" s="195">
        <v>700</v>
      </c>
      <c r="F46" s="195">
        <v>2050</v>
      </c>
      <c r="G46" s="195">
        <v>1100</v>
      </c>
      <c r="H46" s="196">
        <v>1000</v>
      </c>
      <c r="I46" s="197">
        <v>1</v>
      </c>
      <c r="J46" s="421" t="s">
        <v>1084</v>
      </c>
      <c r="K46" s="422"/>
      <c r="M46" s="130">
        <f t="shared" si="0"/>
        <v>450</v>
      </c>
      <c r="N46" s="130">
        <f t="shared" si="1"/>
        <v>700</v>
      </c>
      <c r="O46" s="130">
        <f t="shared" si="3"/>
        <v>2.2549999999999999</v>
      </c>
      <c r="P46" s="137"/>
      <c r="Q46" s="139"/>
      <c r="R46" s="139"/>
      <c r="S46" s="139"/>
      <c r="X46" s="275"/>
      <c r="Y46" s="275"/>
      <c r="Z46" s="275"/>
      <c r="AA46" s="275"/>
    </row>
    <row r="47" spans="1:27" s="273" customFormat="1" ht="15" customHeight="1">
      <c r="A47" s="375" t="s">
        <v>1087</v>
      </c>
      <c r="B47" s="195">
        <v>1</v>
      </c>
      <c r="C47" s="375" t="s">
        <v>466</v>
      </c>
      <c r="D47" s="195">
        <v>600</v>
      </c>
      <c r="E47" s="195">
        <v>900</v>
      </c>
      <c r="F47" s="195">
        <v>2800</v>
      </c>
      <c r="G47" s="195">
        <v>1000</v>
      </c>
      <c r="H47" s="196">
        <v>1000</v>
      </c>
      <c r="I47" s="197">
        <v>4</v>
      </c>
      <c r="J47" s="421" t="s">
        <v>1086</v>
      </c>
      <c r="K47" s="422"/>
      <c r="M47" s="130">
        <f t="shared" si="0"/>
        <v>600</v>
      </c>
      <c r="N47" s="130">
        <f t="shared" si="1"/>
        <v>900</v>
      </c>
      <c r="O47" s="130">
        <f t="shared" si="3"/>
        <v>2.8</v>
      </c>
      <c r="P47" s="137"/>
      <c r="Q47" s="139"/>
      <c r="R47" s="139"/>
      <c r="S47" s="139"/>
      <c r="X47" s="275"/>
      <c r="Y47" s="275"/>
      <c r="Z47" s="275"/>
      <c r="AA47" s="275"/>
    </row>
    <row r="48" spans="1:27" s="273" customFormat="1" ht="15" customHeight="1">
      <c r="A48" s="99"/>
      <c r="B48" s="104"/>
      <c r="C48" s="218"/>
      <c r="D48" s="104"/>
      <c r="E48" s="104"/>
      <c r="F48" s="104"/>
      <c r="G48" s="104"/>
      <c r="H48" s="117"/>
      <c r="I48" s="118"/>
      <c r="J48" s="423"/>
      <c r="K48" s="424"/>
      <c r="M48" s="130">
        <f t="shared" si="0"/>
        <v>0</v>
      </c>
      <c r="N48" s="130">
        <f t="shared" si="1"/>
        <v>0</v>
      </c>
      <c r="O48" s="130">
        <f t="shared" si="3"/>
        <v>0</v>
      </c>
      <c r="P48" s="137"/>
      <c r="Q48" s="139"/>
      <c r="R48" s="139"/>
      <c r="S48" s="139"/>
    </row>
    <row r="49" spans="1:27" s="273" customFormat="1" ht="15" customHeight="1">
      <c r="A49" s="99"/>
      <c r="B49" s="104"/>
      <c r="C49" s="218"/>
      <c r="D49" s="104"/>
      <c r="E49" s="104"/>
      <c r="F49" s="104"/>
      <c r="G49" s="104"/>
      <c r="H49" s="105"/>
      <c r="I49" s="106"/>
      <c r="J49" s="423"/>
      <c r="K49" s="424"/>
      <c r="M49" s="130">
        <f t="shared" si="0"/>
        <v>0</v>
      </c>
      <c r="N49" s="130">
        <f t="shared" si="1"/>
        <v>0</v>
      </c>
      <c r="O49" s="130">
        <f t="shared" si="3"/>
        <v>0</v>
      </c>
      <c r="P49" s="137"/>
      <c r="Q49" s="139"/>
      <c r="R49" s="139"/>
      <c r="S49" s="139"/>
      <c r="X49" s="275"/>
      <c r="Y49" s="275"/>
      <c r="Z49" s="275"/>
      <c r="AA49" s="275"/>
    </row>
    <row r="50" spans="1:27" s="46" customFormat="1" ht="27.75" customHeight="1">
      <c r="A50" s="425"/>
      <c r="B50" s="426"/>
      <c r="C50" s="427" t="s">
        <v>98</v>
      </c>
      <c r="D50" s="427"/>
      <c r="E50" s="427"/>
      <c r="F50" s="427"/>
      <c r="G50" s="427"/>
      <c r="H50" s="427"/>
      <c r="I50" s="427"/>
      <c r="J50" s="427"/>
      <c r="K50" s="428"/>
      <c r="L50" s="45"/>
      <c r="M50" s="131"/>
      <c r="N50" s="131"/>
      <c r="O50" s="131"/>
      <c r="P50" s="150"/>
      <c r="Q50" s="150"/>
      <c r="R50" s="150"/>
      <c r="S50" s="150"/>
      <c r="T50" s="45"/>
      <c r="U50" s="45"/>
      <c r="V50" s="45"/>
    </row>
    <row r="51" spans="1:27" s="54" customFormat="1" ht="27.75" customHeight="1">
      <c r="A51" s="445"/>
      <c r="B51" s="446"/>
      <c r="C51" s="405" t="s">
        <v>99</v>
      </c>
      <c r="D51" s="405"/>
      <c r="E51" s="405"/>
      <c r="F51" s="405"/>
      <c r="G51" s="405"/>
      <c r="H51" s="405"/>
      <c r="I51" s="405"/>
      <c r="J51" s="405"/>
      <c r="K51" s="406"/>
      <c r="L51" s="45"/>
      <c r="M51" s="131"/>
      <c r="N51" s="131"/>
      <c r="O51" s="131"/>
      <c r="P51" s="150"/>
      <c r="Q51" s="150"/>
      <c r="R51" s="150"/>
      <c r="S51" s="151"/>
      <c r="T51" s="53"/>
      <c r="U51" s="53"/>
      <c r="V51" s="53"/>
      <c r="W51" s="53"/>
      <c r="X51" s="53"/>
      <c r="Y51" s="53"/>
      <c r="Z51" s="53"/>
      <c r="AA51" s="53"/>
    </row>
    <row r="52" spans="1:27" ht="27.75" customHeight="1">
      <c r="A52" s="456"/>
      <c r="B52" s="457"/>
      <c r="C52" s="462" t="s">
        <v>100</v>
      </c>
      <c r="D52" s="462"/>
      <c r="E52" s="462"/>
      <c r="F52" s="462"/>
      <c r="G52" s="462"/>
      <c r="H52" s="462"/>
      <c r="I52" s="462"/>
      <c r="J52" s="462"/>
      <c r="K52" s="463"/>
      <c r="L52" s="45"/>
      <c r="M52" s="131"/>
      <c r="N52" s="131"/>
      <c r="O52" s="131"/>
      <c r="P52" s="150"/>
      <c r="Q52" s="150"/>
      <c r="R52" s="150"/>
      <c r="S52" s="150"/>
      <c r="T52" s="45"/>
    </row>
    <row r="53" spans="1:27" ht="15.75" customHeight="1">
      <c r="A53" s="442" t="s">
        <v>494</v>
      </c>
      <c r="B53" s="443"/>
      <c r="C53" s="443"/>
      <c r="D53" s="444"/>
      <c r="E53" s="444"/>
      <c r="F53" s="444"/>
      <c r="G53" s="444"/>
      <c r="H53" s="444"/>
      <c r="I53" s="107"/>
      <c r="J53" s="107"/>
      <c r="K53" s="108"/>
      <c r="M53" s="132">
        <f>SUM(M25:M52)</f>
        <v>210508</v>
      </c>
      <c r="N53" s="132">
        <f t="shared" ref="N53:P53" si="4">SUM(N25:N52)</f>
        <v>221608</v>
      </c>
      <c r="O53" s="132">
        <f t="shared" si="4"/>
        <v>336.90217999999999</v>
      </c>
      <c r="P53" s="132">
        <f t="shared" si="4"/>
        <v>0</v>
      </c>
      <c r="Q53" s="150"/>
      <c r="R53" s="150"/>
      <c r="S53" s="150"/>
    </row>
    <row r="54" spans="1:27" ht="15.75" customHeight="1">
      <c r="A54" s="454" t="s">
        <v>86</v>
      </c>
      <c r="B54" s="455"/>
      <c r="C54" s="455"/>
      <c r="D54" s="452"/>
      <c r="E54" s="452"/>
      <c r="F54" s="452"/>
      <c r="G54" s="452"/>
      <c r="H54" s="452"/>
      <c r="I54" s="115"/>
      <c r="J54" s="115"/>
      <c r="K54" s="116"/>
      <c r="M54" s="121"/>
      <c r="N54" s="121"/>
      <c r="O54" s="121"/>
    </row>
    <row r="55" spans="1:27">
      <c r="A55" s="437"/>
      <c r="B55" s="438"/>
      <c r="C55" s="438"/>
      <c r="D55" s="438"/>
      <c r="E55" s="438"/>
      <c r="F55" s="438"/>
      <c r="G55" s="438"/>
      <c r="H55" s="438"/>
      <c r="I55" s="438"/>
      <c r="J55" s="438"/>
      <c r="K55" s="439"/>
      <c r="M55" s="121"/>
      <c r="N55" s="121"/>
      <c r="O55" s="121"/>
    </row>
    <row r="56" spans="1:27">
      <c r="M56" s="121"/>
      <c r="N56" s="121"/>
      <c r="O56" s="121"/>
    </row>
    <row r="57" spans="1:27">
      <c r="M57" s="121"/>
      <c r="N57" s="121"/>
      <c r="O57" s="121"/>
    </row>
  </sheetData>
  <mergeCells count="106">
    <mergeCell ref="AG15:AH15"/>
    <mergeCell ref="J16:K16"/>
    <mergeCell ref="X16:AA16"/>
    <mergeCell ref="AD15:AF15"/>
    <mergeCell ref="AD16:AF16"/>
    <mergeCell ref="AG16:AH16"/>
    <mergeCell ref="N7:O7"/>
    <mergeCell ref="G9:I9"/>
    <mergeCell ref="M10:N10"/>
    <mergeCell ref="P10:R10"/>
    <mergeCell ref="O14:R14"/>
    <mergeCell ref="J10:K10"/>
    <mergeCell ref="J11:K11"/>
    <mergeCell ref="J14:K14"/>
    <mergeCell ref="AB16:AC16"/>
    <mergeCell ref="J15:K15"/>
    <mergeCell ref="X15:AA15"/>
    <mergeCell ref="AB15:AC15"/>
    <mergeCell ref="J17:K17"/>
    <mergeCell ref="J18:K18"/>
    <mergeCell ref="J48:K48"/>
    <mergeCell ref="J36:K36"/>
    <mergeCell ref="J35:K35"/>
    <mergeCell ref="J26:K26"/>
    <mergeCell ref="J27:K27"/>
    <mergeCell ref="J28:K28"/>
    <mergeCell ref="J30:K30"/>
    <mergeCell ref="J34:K34"/>
    <mergeCell ref="J29:K29"/>
    <mergeCell ref="J38:K38"/>
    <mergeCell ref="J20:K20"/>
    <mergeCell ref="J44:K44"/>
    <mergeCell ref="J45:K45"/>
    <mergeCell ref="J46:K46"/>
    <mergeCell ref="G6:H6"/>
    <mergeCell ref="A55:K55"/>
    <mergeCell ref="J12:K12"/>
    <mergeCell ref="J13:K13"/>
    <mergeCell ref="A53:C53"/>
    <mergeCell ref="D53:H53"/>
    <mergeCell ref="J41:K41"/>
    <mergeCell ref="J42:K42"/>
    <mergeCell ref="J43:K43"/>
    <mergeCell ref="J31:K31"/>
    <mergeCell ref="J32:K32"/>
    <mergeCell ref="J33:K33"/>
    <mergeCell ref="J37:K37"/>
    <mergeCell ref="A51:B51"/>
    <mergeCell ref="A19:C19"/>
    <mergeCell ref="D19:E19"/>
    <mergeCell ref="J19:K19"/>
    <mergeCell ref="J24:K24"/>
    <mergeCell ref="J25:K25"/>
    <mergeCell ref="J22:K22"/>
    <mergeCell ref="A54:C54"/>
    <mergeCell ref="D54:H54"/>
    <mergeCell ref="A52:B52"/>
    <mergeCell ref="C52:K52"/>
    <mergeCell ref="C17:E17"/>
    <mergeCell ref="A23:C23"/>
    <mergeCell ref="D23:E23"/>
    <mergeCell ref="J6:K6"/>
    <mergeCell ref="G7:H7"/>
    <mergeCell ref="J7:K7"/>
    <mergeCell ref="G8:H8"/>
    <mergeCell ref="B3:C3"/>
    <mergeCell ref="E3:F3"/>
    <mergeCell ref="H3:I3"/>
    <mergeCell ref="C11:I11"/>
    <mergeCell ref="C12:I12"/>
    <mergeCell ref="C13:I13"/>
    <mergeCell ref="C14:I14"/>
    <mergeCell ref="C15:I15"/>
    <mergeCell ref="B9:C9"/>
    <mergeCell ref="H4:I4"/>
    <mergeCell ref="B5:C5"/>
    <mergeCell ref="B6:D6"/>
    <mergeCell ref="B7:E7"/>
    <mergeCell ref="J4:K4"/>
    <mergeCell ref="J9:K9"/>
    <mergeCell ref="E5:F5"/>
    <mergeCell ref="J5:K5"/>
    <mergeCell ref="K1:K2"/>
    <mergeCell ref="D1:J2"/>
    <mergeCell ref="A1:B2"/>
    <mergeCell ref="J3:K3"/>
    <mergeCell ref="C51:K51"/>
    <mergeCell ref="B20:D20"/>
    <mergeCell ref="J39:K39"/>
    <mergeCell ref="J40:K40"/>
    <mergeCell ref="F23:H23"/>
    <mergeCell ref="I23:K23"/>
    <mergeCell ref="G20:I20"/>
    <mergeCell ref="G21:I21"/>
    <mergeCell ref="B21:D21"/>
    <mergeCell ref="E20:F20"/>
    <mergeCell ref="E21:F21"/>
    <mergeCell ref="J21:K21"/>
    <mergeCell ref="C18:E18"/>
    <mergeCell ref="C16:I16"/>
    <mergeCell ref="E4:F4"/>
    <mergeCell ref="B4:C4"/>
    <mergeCell ref="J47:K47"/>
    <mergeCell ref="J49:K49"/>
    <mergeCell ref="A50:B50"/>
    <mergeCell ref="C50:K50"/>
  </mergeCells>
  <phoneticPr fontId="57" type="noConversion"/>
  <conditionalFormatting sqref="M22:M23">
    <cfRule type="containsText" dxfId="2" priority="7" operator="containsText" text="TRUE">
      <formula>NOT(ISERROR(SEARCH("TRUE",M22)))</formula>
    </cfRule>
  </conditionalFormatting>
  <conditionalFormatting sqref="M21:P21">
    <cfRule type="containsText" dxfId="1" priority="3" operator="containsText" text="TRUE">
      <formula>NOT(ISERROR(SEARCH("TRUE",M21)))</formula>
    </cfRule>
  </conditionalFormatting>
  <conditionalFormatting sqref="P21">
    <cfRule type="containsText" dxfId="0" priority="1" operator="containsText" text="FALSE">
      <formula>NOT(ISERROR(SEARCH("FALSE",P21)))</formula>
    </cfRule>
  </conditionalFormatting>
  <pageMargins left="0.94488188976377963" right="0.27559055118110237" top="0.39370078740157483" bottom="1.9685039370078741" header="0.51181102362204722" footer="0.51181102362204722"/>
  <pageSetup paperSize="9" scale="69" orientation="portrait" r:id="rId1"/>
  <headerFooter alignWithMargins="0"/>
  <ignoredErrors>
    <ignoredError sqref="A27:A28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0</xdr:rowOff>
                  </from>
                  <to>
                    <xdr:col>1</xdr:col>
                    <xdr:colOff>304800</xdr:colOff>
                    <xdr:row>11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1</xdr:col>
                    <xdr:colOff>0</xdr:colOff>
                    <xdr:row>14</xdr:row>
                    <xdr:rowOff>19050</xdr:rowOff>
                  </from>
                  <to>
                    <xdr:col>1</xdr:col>
                    <xdr:colOff>304800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19050</xdr:rowOff>
                  </from>
                  <to>
                    <xdr:col>1</xdr:col>
                    <xdr:colOff>304800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13</xdr:row>
                    <xdr:rowOff>19050</xdr:rowOff>
                  </from>
                  <to>
                    <xdr:col>1</xdr:col>
                    <xdr:colOff>304800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Check Box 5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19050</xdr:rowOff>
                  </from>
                  <to>
                    <xdr:col>1</xdr:col>
                    <xdr:colOff>304800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19050</xdr:rowOff>
                  </from>
                  <to>
                    <xdr:col>1</xdr:col>
                    <xdr:colOff>304800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0</xdr:rowOff>
                  </from>
                  <to>
                    <xdr:col>1</xdr:col>
                    <xdr:colOff>304800</xdr:colOff>
                    <xdr:row>11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1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14</xdr:row>
                    <xdr:rowOff>19050</xdr:rowOff>
                  </from>
                  <to>
                    <xdr:col>1</xdr:col>
                    <xdr:colOff>304800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2" name="Check Box 9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19050</xdr:rowOff>
                  </from>
                  <to>
                    <xdr:col>1</xdr:col>
                    <xdr:colOff>304800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3" name="Check Box 10">
              <controlPr defaultSize="0" autoFill="0" autoLine="0" autoPict="0">
                <anchor moveWithCells="1">
                  <from>
                    <xdr:col>1</xdr:col>
                    <xdr:colOff>0</xdr:colOff>
                    <xdr:row>13</xdr:row>
                    <xdr:rowOff>19050</xdr:rowOff>
                  </from>
                  <to>
                    <xdr:col>1</xdr:col>
                    <xdr:colOff>304800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4" name="Check Box 11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19050</xdr:rowOff>
                  </from>
                  <to>
                    <xdr:col>1</xdr:col>
                    <xdr:colOff>304800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5" name="Check Box 12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19050</xdr:rowOff>
                  </from>
                  <to>
                    <xdr:col>1</xdr:col>
                    <xdr:colOff>304800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6" name="Check Box 13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0</xdr:rowOff>
                  </from>
                  <to>
                    <xdr:col>1</xdr:col>
                    <xdr:colOff>304800</xdr:colOff>
                    <xdr:row>11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7" name="Check Box 14">
              <controlPr defaultSize="0" autoFill="0" autoLine="0" autoPict="0">
                <anchor moveWithCells="1">
                  <from>
                    <xdr:col>1</xdr:col>
                    <xdr:colOff>0</xdr:colOff>
                    <xdr:row>14</xdr:row>
                    <xdr:rowOff>19050</xdr:rowOff>
                  </from>
                  <to>
                    <xdr:col>1</xdr:col>
                    <xdr:colOff>304800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8" name="Check Box 15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19050</xdr:rowOff>
                  </from>
                  <to>
                    <xdr:col>1</xdr:col>
                    <xdr:colOff>304800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9" name="Check Box 16">
              <controlPr defaultSize="0" autoFill="0" autoLine="0" autoPict="0">
                <anchor moveWithCells="1">
                  <from>
                    <xdr:col>1</xdr:col>
                    <xdr:colOff>0</xdr:colOff>
                    <xdr:row>13</xdr:row>
                    <xdr:rowOff>19050</xdr:rowOff>
                  </from>
                  <to>
                    <xdr:col>1</xdr:col>
                    <xdr:colOff>304800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20" name="Check Box 17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19050</xdr:rowOff>
                  </from>
                  <to>
                    <xdr:col>1</xdr:col>
                    <xdr:colOff>304800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1" name="Check Box 18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19050</xdr:rowOff>
                  </from>
                  <to>
                    <xdr:col>1</xdr:col>
                    <xdr:colOff>304800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2" name="Check Box 19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0</xdr:rowOff>
                  </from>
                  <to>
                    <xdr:col>1</xdr:col>
                    <xdr:colOff>304800</xdr:colOff>
                    <xdr:row>11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3" name="Check Box 20">
              <controlPr defaultSize="0" autoFill="0" autoLine="0" autoPict="0">
                <anchor moveWithCells="1">
                  <from>
                    <xdr:col>1</xdr:col>
                    <xdr:colOff>0</xdr:colOff>
                    <xdr:row>14</xdr:row>
                    <xdr:rowOff>19050</xdr:rowOff>
                  </from>
                  <to>
                    <xdr:col>1</xdr:col>
                    <xdr:colOff>304800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4" name="Check Box 21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19050</xdr:rowOff>
                  </from>
                  <to>
                    <xdr:col>1</xdr:col>
                    <xdr:colOff>304800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5" name="Check Box 22">
              <controlPr defaultSize="0" autoFill="0" autoLine="0" autoPict="0">
                <anchor moveWithCells="1">
                  <from>
                    <xdr:col>1</xdr:col>
                    <xdr:colOff>0</xdr:colOff>
                    <xdr:row>13</xdr:row>
                    <xdr:rowOff>19050</xdr:rowOff>
                  </from>
                  <to>
                    <xdr:col>1</xdr:col>
                    <xdr:colOff>304800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6" name="Check Box 23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19050</xdr:rowOff>
                  </from>
                  <to>
                    <xdr:col>1</xdr:col>
                    <xdr:colOff>304800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27" name="Check Box 24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19050</xdr:rowOff>
                  </from>
                  <to>
                    <xdr:col>1</xdr:col>
                    <xdr:colOff>304800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28" name="Check Box 25">
              <controlPr defaultSize="0" autoFill="0" autoLine="0" autoPict="0">
                <anchor moveWithCells="1">
                  <from>
                    <xdr:col>1</xdr:col>
                    <xdr:colOff>152400</xdr:colOff>
                    <xdr:row>49</xdr:row>
                    <xdr:rowOff>0</xdr:rowOff>
                  </from>
                  <to>
                    <xdr:col>1</xdr:col>
                    <xdr:colOff>457200</xdr:colOff>
                    <xdr:row>49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29" name="Check Box 26">
              <controlPr defaultSize="0" autoFill="0" autoLine="0" autoPict="0">
                <anchor moveWithCells="1">
                  <from>
                    <xdr:col>1</xdr:col>
                    <xdr:colOff>152400</xdr:colOff>
                    <xdr:row>50</xdr:row>
                    <xdr:rowOff>19050</xdr:rowOff>
                  </from>
                  <to>
                    <xdr:col>1</xdr:col>
                    <xdr:colOff>457200</xdr:colOff>
                    <xdr:row>50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30" name="Check Box 27">
              <controlPr defaultSize="0" autoFill="0" autoLine="0" autoPict="0">
                <anchor moveWithCells="1">
                  <from>
                    <xdr:col>1</xdr:col>
                    <xdr:colOff>152400</xdr:colOff>
                    <xdr:row>51</xdr:row>
                    <xdr:rowOff>0</xdr:rowOff>
                  </from>
                  <to>
                    <xdr:col>1</xdr:col>
                    <xdr:colOff>457200</xdr:colOff>
                    <xdr:row>51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P59"/>
  <sheetViews>
    <sheetView tabSelected="1" topLeftCell="A25" workbookViewId="0">
      <selection activeCell="O35" sqref="O35"/>
    </sheetView>
  </sheetViews>
  <sheetFormatPr defaultRowHeight="15"/>
  <cols>
    <col min="1" max="1" width="12.85546875" bestFit="1" customWidth="1"/>
    <col min="2" max="2" width="15.42578125" customWidth="1"/>
    <col min="3" max="3" width="14.42578125" customWidth="1"/>
    <col min="4" max="4" width="18.7109375" customWidth="1"/>
    <col min="5" max="5" width="13.5703125" bestFit="1" customWidth="1"/>
    <col min="6" max="8" width="9.28515625" bestFit="1" customWidth="1"/>
    <col min="9" max="9" width="9.85546875" bestFit="1" customWidth="1"/>
    <col min="10" max="10" width="13.85546875" customWidth="1"/>
    <col min="11" max="11" width="13.85546875" style="125" customWidth="1"/>
    <col min="12" max="12" width="41" customWidth="1"/>
  </cols>
  <sheetData>
    <row r="1" spans="1:16" ht="39" customHeight="1">
      <c r="A1" s="82"/>
      <c r="B1" s="83"/>
      <c r="C1" s="80"/>
      <c r="D1" s="80"/>
      <c r="E1" s="80"/>
      <c r="F1" s="80"/>
      <c r="G1" s="80"/>
      <c r="H1" s="475" t="s">
        <v>104</v>
      </c>
      <c r="I1" s="475"/>
      <c r="J1" s="475"/>
      <c r="K1" s="475"/>
      <c r="L1" s="476"/>
    </row>
    <row r="2" spans="1:16" ht="15.75">
      <c r="A2" s="91"/>
      <c r="B2" s="58"/>
      <c r="C2" s="58"/>
      <c r="D2" s="60" t="s">
        <v>105</v>
      </c>
      <c r="E2" s="60"/>
      <c r="F2" s="60"/>
      <c r="G2" s="60"/>
      <c r="H2" s="477"/>
      <c r="I2" s="477"/>
      <c r="J2" s="477"/>
      <c r="K2" s="477"/>
      <c r="L2" s="478"/>
    </row>
    <row r="3" spans="1:16" ht="15.75">
      <c r="A3" s="84"/>
      <c r="B3" s="57"/>
      <c r="C3" s="59"/>
      <c r="D3" s="60"/>
      <c r="E3" s="60"/>
      <c r="F3" s="60"/>
      <c r="G3" s="60"/>
      <c r="H3" s="477"/>
      <c r="I3" s="477"/>
      <c r="J3" s="477"/>
      <c r="K3" s="477"/>
      <c r="L3" s="478"/>
    </row>
    <row r="4" spans="1:16" ht="15.75" customHeight="1">
      <c r="A4" s="92"/>
      <c r="B4" s="93"/>
      <c r="C4" s="93"/>
      <c r="D4" s="60"/>
      <c r="E4" s="60"/>
      <c r="F4" s="60"/>
      <c r="G4" s="60"/>
      <c r="H4" s="477"/>
      <c r="I4" s="477"/>
      <c r="J4" s="477"/>
      <c r="K4" s="477"/>
      <c r="L4" s="478"/>
    </row>
    <row r="5" spans="1:16" ht="15.75" customHeight="1">
      <c r="A5" s="92"/>
      <c r="B5" s="120" t="s">
        <v>131</v>
      </c>
      <c r="C5" s="93"/>
      <c r="D5" s="60"/>
      <c r="E5" s="60"/>
      <c r="F5" s="60"/>
      <c r="G5" s="60"/>
      <c r="H5" s="477"/>
      <c r="I5" s="477"/>
      <c r="J5" s="477"/>
      <c r="K5" s="477"/>
      <c r="L5" s="478"/>
    </row>
    <row r="6" spans="1:16" ht="18" customHeight="1">
      <c r="A6" s="92"/>
      <c r="B6" s="93" t="s">
        <v>1088</v>
      </c>
      <c r="C6" s="93"/>
      <c r="D6" s="61"/>
      <c r="E6" s="60"/>
      <c r="F6" s="60"/>
      <c r="G6" s="62"/>
      <c r="H6" s="62"/>
      <c r="I6" s="62"/>
      <c r="J6" s="62"/>
      <c r="K6" s="122"/>
      <c r="L6" s="81"/>
    </row>
    <row r="7" spans="1:16" ht="18" customHeight="1">
      <c r="A7" s="92"/>
      <c r="B7" s="93"/>
      <c r="C7" s="93"/>
      <c r="D7" s="61"/>
      <c r="E7" s="60"/>
      <c r="F7" s="60"/>
      <c r="G7" s="62"/>
      <c r="H7" s="62"/>
      <c r="I7" s="62"/>
      <c r="J7" s="62"/>
      <c r="K7" s="122"/>
      <c r="L7" s="85">
        <f>'ÇALIŞMA SAYFASI'!C2</f>
        <v>46049</v>
      </c>
      <c r="O7" s="79"/>
      <c r="P7" s="79"/>
    </row>
    <row r="8" spans="1:16">
      <c r="A8" s="92"/>
      <c r="B8" s="93"/>
      <c r="C8" s="93"/>
      <c r="D8" s="63"/>
      <c r="E8" s="63"/>
      <c r="F8" s="63"/>
      <c r="G8" s="63"/>
      <c r="H8" s="64"/>
      <c r="I8" s="64"/>
      <c r="J8" s="65"/>
      <c r="K8" s="123"/>
      <c r="L8" s="86"/>
    </row>
    <row r="9" spans="1:16" ht="19.5">
      <c r="A9" s="87"/>
      <c r="B9" s="66"/>
      <c r="C9" s="67"/>
      <c r="D9" s="67"/>
      <c r="E9" s="479" t="s">
        <v>124</v>
      </c>
      <c r="F9" s="479"/>
      <c r="G9" s="479"/>
      <c r="H9" s="479"/>
      <c r="I9" s="479"/>
      <c r="J9" s="68"/>
      <c r="K9" s="124"/>
      <c r="L9" s="88"/>
    </row>
    <row r="10" spans="1:16" ht="15.75">
      <c r="A10" s="87"/>
      <c r="B10" s="66"/>
      <c r="C10" s="67"/>
      <c r="D10" s="67"/>
      <c r="E10" s="67"/>
      <c r="F10" s="67"/>
      <c r="G10" s="70"/>
      <c r="H10" s="69"/>
      <c r="I10" s="69"/>
      <c r="J10" s="68"/>
      <c r="K10" s="124"/>
      <c r="L10" s="88"/>
    </row>
    <row r="11" spans="1:16">
      <c r="A11" s="87"/>
      <c r="B11" s="71"/>
      <c r="C11" s="72"/>
      <c r="D11" s="73" t="s">
        <v>106</v>
      </c>
      <c r="E11" s="74" t="s">
        <v>107</v>
      </c>
      <c r="F11" s="480" t="s">
        <v>108</v>
      </c>
      <c r="G11" s="481"/>
      <c r="H11" s="482"/>
      <c r="I11" s="75"/>
      <c r="J11" s="483" t="s">
        <v>132</v>
      </c>
      <c r="K11" s="76" t="s">
        <v>109</v>
      </c>
      <c r="L11" s="74" t="s">
        <v>110</v>
      </c>
    </row>
    <row r="12" spans="1:16">
      <c r="A12" s="87"/>
      <c r="B12" s="73" t="s">
        <v>111</v>
      </c>
      <c r="C12" s="74" t="s">
        <v>112</v>
      </c>
      <c r="D12" s="74" t="s">
        <v>113</v>
      </c>
      <c r="E12" s="74" t="s">
        <v>114</v>
      </c>
      <c r="F12" s="77" t="s">
        <v>115</v>
      </c>
      <c r="G12" s="78" t="s">
        <v>116</v>
      </c>
      <c r="H12" s="78" t="s">
        <v>117</v>
      </c>
      <c r="I12" s="74" t="s">
        <v>118</v>
      </c>
      <c r="J12" s="484"/>
      <c r="K12" s="76"/>
      <c r="L12" s="74" t="s">
        <v>119</v>
      </c>
    </row>
    <row r="13" spans="1:16">
      <c r="A13" s="89"/>
      <c r="B13" s="249" t="s">
        <v>1089</v>
      </c>
      <c r="C13" s="249" t="s">
        <v>120</v>
      </c>
      <c r="D13" s="250">
        <v>173000</v>
      </c>
      <c r="E13" s="250">
        <v>173000</v>
      </c>
      <c r="F13" s="250">
        <v>930</v>
      </c>
      <c r="G13" s="250">
        <v>320</v>
      </c>
      <c r="H13" s="250">
        <v>460</v>
      </c>
      <c r="I13" s="270">
        <f>F13*G13*H13/1000000</f>
        <v>136.89599999999999</v>
      </c>
      <c r="J13" s="251">
        <f>I13</f>
        <v>136.89599999999999</v>
      </c>
      <c r="K13" s="252">
        <v>1</v>
      </c>
      <c r="L13" s="253" t="s">
        <v>121</v>
      </c>
    </row>
    <row r="14" spans="1:16">
      <c r="A14" s="89"/>
      <c r="B14" s="249" t="s">
        <v>1090</v>
      </c>
      <c r="C14" s="253" t="s">
        <v>122</v>
      </c>
      <c r="D14" s="250">
        <v>1450</v>
      </c>
      <c r="E14" s="250">
        <v>1600</v>
      </c>
      <c r="F14" s="250">
        <v>210</v>
      </c>
      <c r="G14" s="250">
        <v>100</v>
      </c>
      <c r="H14" s="250">
        <v>85</v>
      </c>
      <c r="I14" s="270">
        <f>F14*G14*H14/1000000</f>
        <v>1.7849999999999999</v>
      </c>
      <c r="J14" s="251">
        <f>E14*4.5/1000</f>
        <v>7.2</v>
      </c>
      <c r="K14" s="252">
        <v>4</v>
      </c>
      <c r="L14" s="254" t="s">
        <v>543</v>
      </c>
    </row>
    <row r="15" spans="1:16">
      <c r="A15" s="89"/>
      <c r="B15" s="249" t="s">
        <v>1091</v>
      </c>
      <c r="C15" s="253" t="s">
        <v>122</v>
      </c>
      <c r="D15" s="250">
        <v>1200</v>
      </c>
      <c r="E15" s="250">
        <v>1500</v>
      </c>
      <c r="F15" s="250">
        <v>305</v>
      </c>
      <c r="G15" s="250">
        <v>90</v>
      </c>
      <c r="H15" s="250">
        <v>80</v>
      </c>
      <c r="I15" s="270">
        <f>F15*G15*H15/1000000</f>
        <v>2.1960000000000002</v>
      </c>
      <c r="J15" s="251">
        <f>E15*4.5/1000</f>
        <v>6.75</v>
      </c>
      <c r="K15" s="252">
        <v>2</v>
      </c>
      <c r="L15" s="254" t="s">
        <v>777</v>
      </c>
    </row>
    <row r="16" spans="1:16">
      <c r="A16" s="89"/>
      <c r="B16" s="249" t="s">
        <v>1092</v>
      </c>
      <c r="C16" s="253" t="s">
        <v>122</v>
      </c>
      <c r="D16" s="250">
        <v>1400</v>
      </c>
      <c r="E16" s="250">
        <v>1700</v>
      </c>
      <c r="F16" s="250">
        <v>305</v>
      </c>
      <c r="G16" s="250">
        <v>100</v>
      </c>
      <c r="H16" s="255">
        <v>80</v>
      </c>
      <c r="I16" s="270">
        <f t="shared" ref="I16" si="0">F16*G16*H16/1000000</f>
        <v>2.44</v>
      </c>
      <c r="J16" s="251">
        <f t="shared" ref="J16:J39" si="1">E16*4.5/1000</f>
        <v>7.65</v>
      </c>
      <c r="K16" s="252">
        <v>1</v>
      </c>
      <c r="L16" s="254" t="s">
        <v>777</v>
      </c>
    </row>
    <row r="17" spans="1:12">
      <c r="A17" s="89"/>
      <c r="B17" s="249" t="s">
        <v>1093</v>
      </c>
      <c r="C17" s="253" t="s">
        <v>122</v>
      </c>
      <c r="D17" s="250">
        <v>2200</v>
      </c>
      <c r="E17" s="250">
        <v>2700</v>
      </c>
      <c r="F17" s="250">
        <v>460</v>
      </c>
      <c r="G17" s="250">
        <v>185</v>
      </c>
      <c r="H17" s="255">
        <v>260</v>
      </c>
      <c r="I17" s="270">
        <f t="shared" ref="I17:I21" si="2">F17*G17*H17/1000000</f>
        <v>22.126000000000001</v>
      </c>
      <c r="J17" s="251">
        <f t="shared" si="1"/>
        <v>12.15</v>
      </c>
      <c r="K17" s="252">
        <v>1</v>
      </c>
      <c r="L17" s="254" t="s">
        <v>437</v>
      </c>
    </row>
    <row r="18" spans="1:12">
      <c r="A18" s="89"/>
      <c r="B18" s="249" t="s">
        <v>1094</v>
      </c>
      <c r="C18" s="253" t="s">
        <v>122</v>
      </c>
      <c r="D18" s="250">
        <v>1100</v>
      </c>
      <c r="E18" s="250">
        <v>1400</v>
      </c>
      <c r="F18" s="250">
        <v>285</v>
      </c>
      <c r="G18" s="250">
        <v>170</v>
      </c>
      <c r="H18" s="255">
        <v>137.5</v>
      </c>
      <c r="I18" s="270">
        <f t="shared" si="2"/>
        <v>6.6618750000000002</v>
      </c>
      <c r="J18" s="251">
        <f t="shared" si="1"/>
        <v>6.3</v>
      </c>
      <c r="K18" s="252">
        <v>2</v>
      </c>
      <c r="L18" s="254" t="s">
        <v>438</v>
      </c>
    </row>
    <row r="19" spans="1:12">
      <c r="A19" s="89"/>
      <c r="B19" s="249" t="s">
        <v>1095</v>
      </c>
      <c r="C19" s="253" t="s">
        <v>122</v>
      </c>
      <c r="D19" s="250">
        <v>1100</v>
      </c>
      <c r="E19" s="250">
        <v>1400</v>
      </c>
      <c r="F19" s="250">
        <v>285</v>
      </c>
      <c r="G19" s="250">
        <v>170</v>
      </c>
      <c r="H19" s="255">
        <v>137.5</v>
      </c>
      <c r="I19" s="270">
        <f t="shared" si="2"/>
        <v>6.6618750000000002</v>
      </c>
      <c r="J19" s="251">
        <f t="shared" si="1"/>
        <v>6.3</v>
      </c>
      <c r="K19" s="252">
        <v>2</v>
      </c>
      <c r="L19" s="254" t="s">
        <v>438</v>
      </c>
    </row>
    <row r="20" spans="1:12">
      <c r="A20" s="89"/>
      <c r="B20" s="249" t="s">
        <v>1096</v>
      </c>
      <c r="C20" s="253" t="s">
        <v>122</v>
      </c>
      <c r="D20" s="250">
        <v>1650</v>
      </c>
      <c r="E20" s="250">
        <v>2100</v>
      </c>
      <c r="F20" s="250">
        <v>285</v>
      </c>
      <c r="G20" s="250">
        <v>170</v>
      </c>
      <c r="H20" s="255">
        <v>192.5</v>
      </c>
      <c r="I20" s="270">
        <f t="shared" ref="I20" si="3">F20*G20*H20/1000000</f>
        <v>9.3266249999999999</v>
      </c>
      <c r="J20" s="251">
        <f t="shared" ref="J20" si="4">E20*4.5/1000</f>
        <v>9.4499999999999993</v>
      </c>
      <c r="K20" s="252">
        <v>3</v>
      </c>
      <c r="L20" s="254" t="s">
        <v>438</v>
      </c>
    </row>
    <row r="21" spans="1:12">
      <c r="A21" s="89"/>
      <c r="B21" s="249" t="s">
        <v>1097</v>
      </c>
      <c r="C21" s="253" t="s">
        <v>122</v>
      </c>
      <c r="D21" s="250">
        <v>1650</v>
      </c>
      <c r="E21" s="250">
        <v>2100</v>
      </c>
      <c r="F21" s="250">
        <v>285</v>
      </c>
      <c r="G21" s="250">
        <v>170</v>
      </c>
      <c r="H21" s="255">
        <v>192.5</v>
      </c>
      <c r="I21" s="270">
        <f t="shared" si="2"/>
        <v>9.3266249999999999</v>
      </c>
      <c r="J21" s="251">
        <f t="shared" si="1"/>
        <v>9.4499999999999993</v>
      </c>
      <c r="K21" s="252">
        <v>3</v>
      </c>
      <c r="L21" s="254" t="s">
        <v>438</v>
      </c>
    </row>
    <row r="22" spans="1:12">
      <c r="A22" s="89"/>
      <c r="B22" s="249" t="s">
        <v>1098</v>
      </c>
      <c r="C22" s="253" t="s">
        <v>122</v>
      </c>
      <c r="D22" s="250">
        <v>1650</v>
      </c>
      <c r="E22" s="250">
        <v>2100</v>
      </c>
      <c r="F22" s="250">
        <v>285</v>
      </c>
      <c r="G22" s="250">
        <v>170</v>
      </c>
      <c r="H22" s="255">
        <v>192.5</v>
      </c>
      <c r="I22" s="270">
        <f t="shared" ref="I22:I39" si="5">F22*G22*H22/1000000</f>
        <v>9.3266249999999999</v>
      </c>
      <c r="J22" s="251">
        <f t="shared" si="1"/>
        <v>9.4499999999999993</v>
      </c>
      <c r="K22" s="252">
        <v>3</v>
      </c>
      <c r="L22" s="254" t="s">
        <v>438</v>
      </c>
    </row>
    <row r="23" spans="1:12">
      <c r="A23" s="89"/>
      <c r="B23" s="249" t="s">
        <v>1099</v>
      </c>
      <c r="C23" s="253" t="s">
        <v>122</v>
      </c>
      <c r="D23" s="250">
        <v>1650</v>
      </c>
      <c r="E23" s="250">
        <v>2100</v>
      </c>
      <c r="F23" s="250">
        <v>285</v>
      </c>
      <c r="G23" s="250">
        <v>170</v>
      </c>
      <c r="H23" s="255">
        <v>192.5</v>
      </c>
      <c r="I23" s="270">
        <f t="shared" ref="I23:I33" si="6">F23*G23*H23/1000000</f>
        <v>9.3266249999999999</v>
      </c>
      <c r="J23" s="251">
        <f t="shared" ref="J23:J33" si="7">E23*4.5/1000</f>
        <v>9.4499999999999993</v>
      </c>
      <c r="K23" s="252">
        <v>3</v>
      </c>
      <c r="L23" s="254" t="s">
        <v>438</v>
      </c>
    </row>
    <row r="24" spans="1:12">
      <c r="A24" s="89"/>
      <c r="B24" s="249" t="s">
        <v>1100</v>
      </c>
      <c r="C24" s="253" t="s">
        <v>122</v>
      </c>
      <c r="D24" s="250">
        <v>1650</v>
      </c>
      <c r="E24" s="250">
        <v>2100</v>
      </c>
      <c r="F24" s="250">
        <v>285</v>
      </c>
      <c r="G24" s="250">
        <v>170</v>
      </c>
      <c r="H24" s="255">
        <v>192.5</v>
      </c>
      <c r="I24" s="270">
        <f t="shared" si="6"/>
        <v>9.3266249999999999</v>
      </c>
      <c r="J24" s="251">
        <f t="shared" si="7"/>
        <v>9.4499999999999993</v>
      </c>
      <c r="K24" s="252">
        <v>3</v>
      </c>
      <c r="L24" s="254" t="s">
        <v>438</v>
      </c>
    </row>
    <row r="25" spans="1:12">
      <c r="A25" s="89"/>
      <c r="B25" s="249" t="s">
        <v>1101</v>
      </c>
      <c r="C25" s="253" t="s">
        <v>122</v>
      </c>
      <c r="D25" s="250">
        <v>1650</v>
      </c>
      <c r="E25" s="250">
        <v>2100</v>
      </c>
      <c r="F25" s="250">
        <v>285</v>
      </c>
      <c r="G25" s="250">
        <v>170</v>
      </c>
      <c r="H25" s="255">
        <v>192.5</v>
      </c>
      <c r="I25" s="270">
        <f t="shared" si="6"/>
        <v>9.3266249999999999</v>
      </c>
      <c r="J25" s="251">
        <f t="shared" si="7"/>
        <v>9.4499999999999993</v>
      </c>
      <c r="K25" s="252">
        <v>3</v>
      </c>
      <c r="L25" s="254" t="s">
        <v>438</v>
      </c>
    </row>
    <row r="26" spans="1:12">
      <c r="A26" s="89"/>
      <c r="B26" s="249" t="s">
        <v>1102</v>
      </c>
      <c r="C26" s="253" t="s">
        <v>122</v>
      </c>
      <c r="D26" s="250">
        <v>1650</v>
      </c>
      <c r="E26" s="250">
        <v>2100</v>
      </c>
      <c r="F26" s="250">
        <v>285</v>
      </c>
      <c r="G26" s="250">
        <v>170</v>
      </c>
      <c r="H26" s="255">
        <v>192.5</v>
      </c>
      <c r="I26" s="270">
        <f t="shared" si="6"/>
        <v>9.3266249999999999</v>
      </c>
      <c r="J26" s="251">
        <f t="shared" si="7"/>
        <v>9.4499999999999993</v>
      </c>
      <c r="K26" s="252">
        <v>3</v>
      </c>
      <c r="L26" s="254" t="s">
        <v>438</v>
      </c>
    </row>
    <row r="27" spans="1:12">
      <c r="A27" s="89"/>
      <c r="B27" s="249" t="s">
        <v>1103</v>
      </c>
      <c r="C27" s="253" t="s">
        <v>122</v>
      </c>
      <c r="D27" s="250">
        <v>1650</v>
      </c>
      <c r="E27" s="250">
        <v>2100</v>
      </c>
      <c r="F27" s="250">
        <v>285</v>
      </c>
      <c r="G27" s="250">
        <v>170</v>
      </c>
      <c r="H27" s="255">
        <v>192.5</v>
      </c>
      <c r="I27" s="270">
        <f t="shared" si="6"/>
        <v>9.3266249999999999</v>
      </c>
      <c r="J27" s="251">
        <f t="shared" si="7"/>
        <v>9.4499999999999993</v>
      </c>
      <c r="K27" s="252">
        <v>3</v>
      </c>
      <c r="L27" s="254" t="s">
        <v>438</v>
      </c>
    </row>
    <row r="28" spans="1:12">
      <c r="A28" s="89"/>
      <c r="B28" s="249" t="s">
        <v>1104</v>
      </c>
      <c r="C28" s="253" t="s">
        <v>122</v>
      </c>
      <c r="D28" s="250">
        <v>315</v>
      </c>
      <c r="E28" s="250">
        <v>700</v>
      </c>
      <c r="F28" s="250">
        <v>365</v>
      </c>
      <c r="G28" s="250">
        <v>135</v>
      </c>
      <c r="H28" s="250">
        <v>95</v>
      </c>
      <c r="I28" s="270">
        <f t="shared" si="6"/>
        <v>4.6811249999999998</v>
      </c>
      <c r="J28" s="251">
        <f t="shared" si="7"/>
        <v>3.15</v>
      </c>
      <c r="K28" s="252">
        <v>3</v>
      </c>
      <c r="L28" s="254" t="s">
        <v>544</v>
      </c>
    </row>
    <row r="29" spans="1:12">
      <c r="A29" s="89"/>
      <c r="B29" s="249" t="s">
        <v>1105</v>
      </c>
      <c r="C29" s="253" t="s">
        <v>122</v>
      </c>
      <c r="D29" s="250">
        <v>315</v>
      </c>
      <c r="E29" s="250">
        <v>700</v>
      </c>
      <c r="F29" s="250">
        <v>365</v>
      </c>
      <c r="G29" s="250">
        <v>135</v>
      </c>
      <c r="H29" s="250">
        <v>95</v>
      </c>
      <c r="I29" s="270">
        <f t="shared" si="6"/>
        <v>4.6811249999999998</v>
      </c>
      <c r="J29" s="251">
        <f t="shared" si="7"/>
        <v>3.15</v>
      </c>
      <c r="K29" s="252">
        <v>3</v>
      </c>
      <c r="L29" s="254" t="s">
        <v>544</v>
      </c>
    </row>
    <row r="30" spans="1:12">
      <c r="A30" s="89"/>
      <c r="B30" s="249" t="s">
        <v>1106</v>
      </c>
      <c r="C30" s="253" t="s">
        <v>122</v>
      </c>
      <c r="D30" s="250">
        <v>420</v>
      </c>
      <c r="E30" s="250">
        <v>950</v>
      </c>
      <c r="F30" s="250">
        <v>480</v>
      </c>
      <c r="G30" s="250">
        <v>135</v>
      </c>
      <c r="H30" s="250">
        <v>95</v>
      </c>
      <c r="I30" s="270">
        <f t="shared" si="6"/>
        <v>6.1559999999999997</v>
      </c>
      <c r="J30" s="251">
        <f t="shared" si="7"/>
        <v>4.2750000000000004</v>
      </c>
      <c r="K30" s="252">
        <v>4</v>
      </c>
      <c r="L30" s="254" t="s">
        <v>544</v>
      </c>
    </row>
    <row r="31" spans="1:12">
      <c r="A31" s="89"/>
      <c r="B31" s="249" t="s">
        <v>1107</v>
      </c>
      <c r="C31" s="253" t="s">
        <v>122</v>
      </c>
      <c r="D31" s="250">
        <v>420</v>
      </c>
      <c r="E31" s="250">
        <v>950</v>
      </c>
      <c r="F31" s="250">
        <v>480</v>
      </c>
      <c r="G31" s="250">
        <v>135</v>
      </c>
      <c r="H31" s="250">
        <v>95</v>
      </c>
      <c r="I31" s="270">
        <f t="shared" si="6"/>
        <v>6.1559999999999997</v>
      </c>
      <c r="J31" s="251">
        <f t="shared" si="7"/>
        <v>4.2750000000000004</v>
      </c>
      <c r="K31" s="252">
        <v>4</v>
      </c>
      <c r="L31" s="254" t="s">
        <v>544</v>
      </c>
    </row>
    <row r="32" spans="1:12">
      <c r="A32" s="89"/>
      <c r="B32" s="249" t="s">
        <v>1108</v>
      </c>
      <c r="C32" s="253" t="s">
        <v>122</v>
      </c>
      <c r="D32" s="250">
        <v>700</v>
      </c>
      <c r="E32" s="250">
        <v>900</v>
      </c>
      <c r="F32" s="250">
        <v>200</v>
      </c>
      <c r="G32" s="250">
        <v>155</v>
      </c>
      <c r="H32" s="250">
        <v>200</v>
      </c>
      <c r="I32" s="270">
        <f t="shared" si="6"/>
        <v>6.2</v>
      </c>
      <c r="J32" s="251">
        <f t="shared" si="7"/>
        <v>4.05</v>
      </c>
      <c r="K32" s="252">
        <v>2</v>
      </c>
      <c r="L32" s="254" t="s">
        <v>545</v>
      </c>
    </row>
    <row r="33" spans="1:12">
      <c r="A33" s="89"/>
      <c r="B33" s="249" t="s">
        <v>1109</v>
      </c>
      <c r="C33" s="253" t="s">
        <v>122</v>
      </c>
      <c r="D33" s="250">
        <v>350</v>
      </c>
      <c r="E33" s="250">
        <v>450</v>
      </c>
      <c r="F33" s="250">
        <v>190</v>
      </c>
      <c r="G33" s="250">
        <v>125</v>
      </c>
      <c r="H33" s="250">
        <v>180</v>
      </c>
      <c r="I33" s="270">
        <f t="shared" si="6"/>
        <v>4.2750000000000004</v>
      </c>
      <c r="J33" s="251">
        <f t="shared" si="7"/>
        <v>2.0249999999999999</v>
      </c>
      <c r="K33" s="252">
        <v>2</v>
      </c>
      <c r="L33" s="254" t="s">
        <v>545</v>
      </c>
    </row>
    <row r="34" spans="1:12">
      <c r="A34" s="89"/>
      <c r="B34" s="249" t="s">
        <v>1110</v>
      </c>
      <c r="C34" s="253" t="s">
        <v>122</v>
      </c>
      <c r="D34" s="253">
        <v>1700</v>
      </c>
      <c r="E34" s="249">
        <v>2200</v>
      </c>
      <c r="F34" s="252">
        <v>500</v>
      </c>
      <c r="G34" s="252">
        <v>130</v>
      </c>
      <c r="H34" s="252">
        <v>120</v>
      </c>
      <c r="I34" s="270">
        <f t="shared" si="5"/>
        <v>7.8</v>
      </c>
      <c r="J34" s="251">
        <f t="shared" si="1"/>
        <v>9.9</v>
      </c>
      <c r="K34" s="252">
        <v>40</v>
      </c>
      <c r="L34" s="254" t="s">
        <v>546</v>
      </c>
    </row>
    <row r="35" spans="1:12">
      <c r="A35" s="89"/>
      <c r="B35" s="249" t="s">
        <v>1111</v>
      </c>
      <c r="C35" s="253" t="s">
        <v>122</v>
      </c>
      <c r="D35" s="253">
        <v>800</v>
      </c>
      <c r="E35" s="249">
        <v>1300</v>
      </c>
      <c r="F35" s="252">
        <v>510</v>
      </c>
      <c r="G35" s="252">
        <v>130</v>
      </c>
      <c r="H35" s="252">
        <v>130</v>
      </c>
      <c r="I35" s="270">
        <f t="shared" si="5"/>
        <v>8.6189999999999998</v>
      </c>
      <c r="J35" s="251">
        <f t="shared" si="1"/>
        <v>5.85</v>
      </c>
      <c r="K35" s="252" t="s">
        <v>779</v>
      </c>
      <c r="L35" s="254" t="s">
        <v>547</v>
      </c>
    </row>
    <row r="36" spans="1:12">
      <c r="A36" s="89"/>
      <c r="B36" s="249" t="s">
        <v>1112</v>
      </c>
      <c r="C36" s="253" t="s">
        <v>122</v>
      </c>
      <c r="D36" s="253">
        <v>800</v>
      </c>
      <c r="E36" s="249">
        <v>1000</v>
      </c>
      <c r="F36" s="252">
        <v>305</v>
      </c>
      <c r="G36" s="252">
        <v>100</v>
      </c>
      <c r="H36" s="252">
        <v>90</v>
      </c>
      <c r="I36" s="270">
        <f t="shared" si="5"/>
        <v>2.7450000000000001</v>
      </c>
      <c r="J36" s="251">
        <f t="shared" si="1"/>
        <v>4.5</v>
      </c>
      <c r="K36" s="252" t="s">
        <v>779</v>
      </c>
      <c r="L36" s="254" t="s">
        <v>439</v>
      </c>
    </row>
    <row r="37" spans="1:12">
      <c r="A37" s="89"/>
      <c r="B37" s="249" t="s">
        <v>1113</v>
      </c>
      <c r="C37" s="253" t="s">
        <v>122</v>
      </c>
      <c r="D37" s="253">
        <v>315</v>
      </c>
      <c r="E37" s="249">
        <v>438</v>
      </c>
      <c r="F37" s="252">
        <v>450</v>
      </c>
      <c r="G37" s="252">
        <v>60</v>
      </c>
      <c r="H37" s="252">
        <v>70</v>
      </c>
      <c r="I37" s="270">
        <f t="shared" si="5"/>
        <v>1.89</v>
      </c>
      <c r="J37" s="251">
        <f t="shared" si="1"/>
        <v>1.9710000000000001</v>
      </c>
      <c r="K37" s="252">
        <v>1</v>
      </c>
      <c r="L37" s="254" t="s">
        <v>440</v>
      </c>
    </row>
    <row r="38" spans="1:12">
      <c r="A38" s="89"/>
      <c r="B38" s="249" t="s">
        <v>1114</v>
      </c>
      <c r="C38" s="253" t="s">
        <v>122</v>
      </c>
      <c r="D38" s="253">
        <v>315</v>
      </c>
      <c r="E38" s="249">
        <v>438</v>
      </c>
      <c r="F38" s="252">
        <v>450</v>
      </c>
      <c r="G38" s="252">
        <v>60</v>
      </c>
      <c r="H38" s="252">
        <v>70</v>
      </c>
      <c r="I38" s="270">
        <f t="shared" si="5"/>
        <v>1.89</v>
      </c>
      <c r="J38" s="251">
        <f t="shared" si="1"/>
        <v>1.9710000000000001</v>
      </c>
      <c r="K38" s="252">
        <v>1</v>
      </c>
      <c r="L38" s="249" t="s">
        <v>440</v>
      </c>
    </row>
    <row r="39" spans="1:12">
      <c r="A39" s="89"/>
      <c r="B39" s="249" t="s">
        <v>1115</v>
      </c>
      <c r="C39" s="253" t="s">
        <v>122</v>
      </c>
      <c r="D39" s="253">
        <v>315</v>
      </c>
      <c r="E39" s="249">
        <v>438</v>
      </c>
      <c r="F39" s="252">
        <v>450</v>
      </c>
      <c r="G39" s="252">
        <v>60</v>
      </c>
      <c r="H39" s="252">
        <v>70</v>
      </c>
      <c r="I39" s="270">
        <f t="shared" si="5"/>
        <v>1.89</v>
      </c>
      <c r="J39" s="251">
        <f t="shared" si="1"/>
        <v>1.9710000000000001</v>
      </c>
      <c r="K39" s="252">
        <v>1</v>
      </c>
      <c r="L39" s="249" t="s">
        <v>440</v>
      </c>
    </row>
    <row r="40" spans="1:12">
      <c r="A40" s="89"/>
      <c r="B40" s="249" t="s">
        <v>1116</v>
      </c>
      <c r="C40" s="253" t="s">
        <v>122</v>
      </c>
      <c r="D40" s="253">
        <v>295</v>
      </c>
      <c r="E40" s="249">
        <v>395</v>
      </c>
      <c r="F40" s="252">
        <v>390</v>
      </c>
      <c r="G40" s="252">
        <v>60</v>
      </c>
      <c r="H40" s="252">
        <v>70</v>
      </c>
      <c r="I40" s="270">
        <f t="shared" ref="I40" si="8">F40*G40*H40/1000000</f>
        <v>1.6379999999999999</v>
      </c>
      <c r="J40" s="251">
        <f t="shared" ref="J40" si="9">E40*4.5/1000</f>
        <v>1.7775000000000001</v>
      </c>
      <c r="K40" s="252">
        <v>1</v>
      </c>
      <c r="L40" s="249" t="s">
        <v>549</v>
      </c>
    </row>
    <row r="41" spans="1:12">
      <c r="A41" s="90"/>
      <c r="B41" s="249" t="s">
        <v>1117</v>
      </c>
      <c r="C41" s="253" t="s">
        <v>122</v>
      </c>
      <c r="D41" s="253">
        <v>180</v>
      </c>
      <c r="E41" s="249">
        <v>270</v>
      </c>
      <c r="F41" s="252">
        <v>225</v>
      </c>
      <c r="G41" s="252">
        <v>113</v>
      </c>
      <c r="H41" s="252">
        <v>60</v>
      </c>
      <c r="I41" s="270">
        <f t="shared" ref="I41:I42" si="10">F41*G41*H41/1000000</f>
        <v>1.5255000000000001</v>
      </c>
      <c r="J41" s="251">
        <f t="shared" ref="J41:J42" si="11">E41*4.5/1000</f>
        <v>1.2150000000000001</v>
      </c>
      <c r="K41" s="252">
        <v>3</v>
      </c>
      <c r="L41" s="249" t="s">
        <v>548</v>
      </c>
    </row>
    <row r="42" spans="1:12">
      <c r="A42" s="90"/>
      <c r="B42" s="249" t="s">
        <v>1118</v>
      </c>
      <c r="C42" s="253" t="s">
        <v>122</v>
      </c>
      <c r="D42" s="253">
        <v>48</v>
      </c>
      <c r="E42" s="249">
        <v>91</v>
      </c>
      <c r="F42" s="252">
        <v>170</v>
      </c>
      <c r="G42" s="252">
        <v>38</v>
      </c>
      <c r="H42" s="252">
        <v>58</v>
      </c>
      <c r="I42" s="270">
        <f t="shared" si="10"/>
        <v>0.37468000000000001</v>
      </c>
      <c r="J42" s="251">
        <f t="shared" si="11"/>
        <v>0.40949999999999998</v>
      </c>
      <c r="K42" s="252">
        <v>1</v>
      </c>
      <c r="L42" s="249" t="s">
        <v>549</v>
      </c>
    </row>
    <row r="43" spans="1:12">
      <c r="A43" s="90"/>
      <c r="B43" s="249" t="s">
        <v>1119</v>
      </c>
      <c r="C43" s="253" t="s">
        <v>122</v>
      </c>
      <c r="D43" s="253">
        <v>60</v>
      </c>
      <c r="E43" s="249">
        <v>102</v>
      </c>
      <c r="F43" s="252">
        <v>195</v>
      </c>
      <c r="G43" s="252">
        <v>45</v>
      </c>
      <c r="H43" s="252">
        <v>60</v>
      </c>
      <c r="I43" s="270">
        <f t="shared" ref="I43:I56" si="12">F43*G43*H43/1000000</f>
        <v>0.52649999999999997</v>
      </c>
      <c r="J43" s="251">
        <f t="shared" ref="J43:J56" si="13">E43*4.5/1000</f>
        <v>0.45900000000000002</v>
      </c>
      <c r="K43" s="252">
        <v>1</v>
      </c>
      <c r="L43" s="249" t="s">
        <v>778</v>
      </c>
    </row>
    <row r="44" spans="1:12">
      <c r="A44" s="90"/>
      <c r="B44" s="249" t="s">
        <v>1120</v>
      </c>
      <c r="C44" s="253" t="s">
        <v>122</v>
      </c>
      <c r="D44" s="253">
        <v>60</v>
      </c>
      <c r="E44" s="249">
        <v>102</v>
      </c>
      <c r="F44" s="252">
        <v>195</v>
      </c>
      <c r="G44" s="252">
        <v>45</v>
      </c>
      <c r="H44" s="252">
        <v>60</v>
      </c>
      <c r="I44" s="270">
        <f t="shared" si="12"/>
        <v>0.52649999999999997</v>
      </c>
      <c r="J44" s="251">
        <f t="shared" si="13"/>
        <v>0.45900000000000002</v>
      </c>
      <c r="K44" s="252">
        <v>1</v>
      </c>
      <c r="L44" s="249" t="s">
        <v>778</v>
      </c>
    </row>
    <row r="45" spans="1:12">
      <c r="A45" s="90"/>
      <c r="B45" s="249" t="s">
        <v>1121</v>
      </c>
      <c r="C45" s="253" t="s">
        <v>122</v>
      </c>
      <c r="D45" s="253">
        <v>60</v>
      </c>
      <c r="E45" s="249">
        <v>102</v>
      </c>
      <c r="F45" s="252">
        <v>195</v>
      </c>
      <c r="G45" s="252">
        <v>45</v>
      </c>
      <c r="H45" s="252">
        <v>60</v>
      </c>
      <c r="I45" s="270">
        <f t="shared" si="12"/>
        <v>0.52649999999999997</v>
      </c>
      <c r="J45" s="251">
        <f t="shared" si="13"/>
        <v>0.45900000000000002</v>
      </c>
      <c r="K45" s="252">
        <v>1</v>
      </c>
      <c r="L45" s="249" t="s">
        <v>778</v>
      </c>
    </row>
    <row r="46" spans="1:12">
      <c r="A46" s="90"/>
      <c r="B46" s="249" t="s">
        <v>1122</v>
      </c>
      <c r="C46" s="253" t="s">
        <v>122</v>
      </c>
      <c r="D46" s="253">
        <v>60</v>
      </c>
      <c r="E46" s="249">
        <v>102</v>
      </c>
      <c r="F46" s="252">
        <v>195</v>
      </c>
      <c r="G46" s="252">
        <v>45</v>
      </c>
      <c r="H46" s="252">
        <v>60</v>
      </c>
      <c r="I46" s="270">
        <f t="shared" si="12"/>
        <v>0.52649999999999997</v>
      </c>
      <c r="J46" s="251">
        <f t="shared" si="13"/>
        <v>0.45900000000000002</v>
      </c>
      <c r="K46" s="252">
        <v>1</v>
      </c>
      <c r="L46" s="249" t="s">
        <v>778</v>
      </c>
    </row>
    <row r="47" spans="1:12">
      <c r="A47" s="343"/>
      <c r="B47" s="249" t="s">
        <v>1123</v>
      </c>
      <c r="C47" s="253" t="s">
        <v>1073</v>
      </c>
      <c r="D47" s="253">
        <v>728</v>
      </c>
      <c r="E47" s="249">
        <v>828</v>
      </c>
      <c r="F47" s="252">
        <v>120</v>
      </c>
      <c r="G47" s="252">
        <v>120</v>
      </c>
      <c r="H47" s="252">
        <v>110</v>
      </c>
      <c r="I47" s="270">
        <f t="shared" si="12"/>
        <v>1.5840000000000001</v>
      </c>
      <c r="J47" s="251">
        <f t="shared" si="13"/>
        <v>3.726</v>
      </c>
      <c r="K47" s="252">
        <v>4</v>
      </c>
      <c r="L47" s="249" t="s">
        <v>1074</v>
      </c>
    </row>
    <row r="48" spans="1:12">
      <c r="A48" s="343"/>
      <c r="B48" s="249" t="s">
        <v>1124</v>
      </c>
      <c r="C48" s="253" t="s">
        <v>1073</v>
      </c>
      <c r="D48" s="253">
        <v>728</v>
      </c>
      <c r="E48" s="249">
        <v>828</v>
      </c>
      <c r="F48" s="252">
        <v>120</v>
      </c>
      <c r="G48" s="252">
        <v>120</v>
      </c>
      <c r="H48" s="252">
        <v>110</v>
      </c>
      <c r="I48" s="270">
        <f t="shared" si="12"/>
        <v>1.5840000000000001</v>
      </c>
      <c r="J48" s="251">
        <f t="shared" si="13"/>
        <v>3.726</v>
      </c>
      <c r="K48" s="252">
        <v>4</v>
      </c>
      <c r="L48" s="249" t="s">
        <v>1074</v>
      </c>
    </row>
    <row r="49" spans="1:12">
      <c r="A49" s="343"/>
      <c r="B49" s="249" t="s">
        <v>1125</v>
      </c>
      <c r="C49" s="253" t="s">
        <v>1073</v>
      </c>
      <c r="D49" s="253">
        <v>728</v>
      </c>
      <c r="E49" s="249">
        <v>828</v>
      </c>
      <c r="F49" s="252">
        <v>120</v>
      </c>
      <c r="G49" s="252">
        <v>120</v>
      </c>
      <c r="H49" s="252">
        <v>110</v>
      </c>
      <c r="I49" s="270">
        <f t="shared" si="12"/>
        <v>1.5840000000000001</v>
      </c>
      <c r="J49" s="251">
        <f t="shared" si="13"/>
        <v>3.726</v>
      </c>
      <c r="K49" s="252">
        <v>4</v>
      </c>
      <c r="L49" s="249" t="s">
        <v>1074</v>
      </c>
    </row>
    <row r="50" spans="1:12">
      <c r="A50" s="343"/>
      <c r="B50" s="249" t="s">
        <v>1126</v>
      </c>
      <c r="C50" s="253" t="s">
        <v>1073</v>
      </c>
      <c r="D50" s="253">
        <v>728</v>
      </c>
      <c r="E50" s="249">
        <v>828</v>
      </c>
      <c r="F50" s="252">
        <v>120</v>
      </c>
      <c r="G50" s="252">
        <v>120</v>
      </c>
      <c r="H50" s="252">
        <v>110</v>
      </c>
      <c r="I50" s="270">
        <f t="shared" si="12"/>
        <v>1.5840000000000001</v>
      </c>
      <c r="J50" s="251">
        <f t="shared" si="13"/>
        <v>3.726</v>
      </c>
      <c r="K50" s="252">
        <v>4</v>
      </c>
      <c r="L50" s="249" t="s">
        <v>1074</v>
      </c>
    </row>
    <row r="51" spans="1:12">
      <c r="A51" s="343"/>
      <c r="B51" s="249" t="s">
        <v>1127</v>
      </c>
      <c r="C51" s="253" t="s">
        <v>1073</v>
      </c>
      <c r="D51" s="253">
        <v>728</v>
      </c>
      <c r="E51" s="249">
        <v>828</v>
      </c>
      <c r="F51" s="252">
        <v>120</v>
      </c>
      <c r="G51" s="252">
        <v>120</v>
      </c>
      <c r="H51" s="252">
        <v>110</v>
      </c>
      <c r="I51" s="270">
        <f t="shared" si="12"/>
        <v>1.5840000000000001</v>
      </c>
      <c r="J51" s="251">
        <f t="shared" si="13"/>
        <v>3.726</v>
      </c>
      <c r="K51" s="252">
        <v>4</v>
      </c>
      <c r="L51" s="249" t="s">
        <v>1074</v>
      </c>
    </row>
    <row r="52" spans="1:12">
      <c r="A52" s="343"/>
      <c r="B52" s="249" t="s">
        <v>1128</v>
      </c>
      <c r="C52" s="253" t="s">
        <v>1073</v>
      </c>
      <c r="D52" s="253">
        <v>728</v>
      </c>
      <c r="E52" s="249">
        <v>828</v>
      </c>
      <c r="F52" s="252">
        <v>120</v>
      </c>
      <c r="G52" s="252">
        <v>120</v>
      </c>
      <c r="H52" s="252">
        <v>110</v>
      </c>
      <c r="I52" s="270">
        <f t="shared" si="12"/>
        <v>1.5840000000000001</v>
      </c>
      <c r="J52" s="251">
        <f t="shared" si="13"/>
        <v>3.726</v>
      </c>
      <c r="K52" s="252">
        <v>4</v>
      </c>
      <c r="L52" s="249" t="s">
        <v>1074</v>
      </c>
    </row>
    <row r="53" spans="1:12">
      <c r="A53" s="343"/>
      <c r="B53" s="249" t="s">
        <v>1129</v>
      </c>
      <c r="C53" s="253" t="s">
        <v>1073</v>
      </c>
      <c r="D53" s="253">
        <v>728</v>
      </c>
      <c r="E53" s="249">
        <v>828</v>
      </c>
      <c r="F53" s="252">
        <v>120</v>
      </c>
      <c r="G53" s="252">
        <v>120</v>
      </c>
      <c r="H53" s="252">
        <v>110</v>
      </c>
      <c r="I53" s="270">
        <f t="shared" si="12"/>
        <v>1.5840000000000001</v>
      </c>
      <c r="J53" s="251">
        <f t="shared" si="13"/>
        <v>3.726</v>
      </c>
      <c r="K53" s="252">
        <v>4</v>
      </c>
      <c r="L53" s="249" t="s">
        <v>1074</v>
      </c>
    </row>
    <row r="54" spans="1:12">
      <c r="A54" s="343"/>
      <c r="B54" s="249" t="s">
        <v>1130</v>
      </c>
      <c r="C54" s="253" t="s">
        <v>1073</v>
      </c>
      <c r="D54" s="253">
        <v>728</v>
      </c>
      <c r="E54" s="249">
        <v>828</v>
      </c>
      <c r="F54" s="252">
        <v>120</v>
      </c>
      <c r="G54" s="252">
        <v>120</v>
      </c>
      <c r="H54" s="252">
        <v>110</v>
      </c>
      <c r="I54" s="270">
        <f t="shared" si="12"/>
        <v>1.5840000000000001</v>
      </c>
      <c r="J54" s="251">
        <f t="shared" si="13"/>
        <v>3.726</v>
      </c>
      <c r="K54" s="252">
        <v>4</v>
      </c>
      <c r="L54" s="249" t="s">
        <v>1074</v>
      </c>
    </row>
    <row r="55" spans="1:12">
      <c r="A55" s="343"/>
      <c r="B55" s="249" t="s">
        <v>1131</v>
      </c>
      <c r="C55" s="253" t="s">
        <v>1073</v>
      </c>
      <c r="D55" s="253">
        <v>728</v>
      </c>
      <c r="E55" s="249">
        <v>828</v>
      </c>
      <c r="F55" s="252">
        <v>120</v>
      </c>
      <c r="G55" s="252">
        <v>120</v>
      </c>
      <c r="H55" s="252">
        <v>110</v>
      </c>
      <c r="I55" s="270">
        <f t="shared" si="12"/>
        <v>1.5840000000000001</v>
      </c>
      <c r="J55" s="251">
        <f t="shared" si="13"/>
        <v>3.726</v>
      </c>
      <c r="K55" s="252">
        <v>4</v>
      </c>
      <c r="L55" s="249" t="s">
        <v>1074</v>
      </c>
    </row>
    <row r="56" spans="1:12">
      <c r="A56" s="343"/>
      <c r="B56" s="249" t="s">
        <v>1132</v>
      </c>
      <c r="C56" s="253" t="s">
        <v>1073</v>
      </c>
      <c r="D56" s="253">
        <v>728</v>
      </c>
      <c r="E56" s="249">
        <v>828</v>
      </c>
      <c r="F56" s="252">
        <v>120</v>
      </c>
      <c r="G56" s="252">
        <v>120</v>
      </c>
      <c r="H56" s="252">
        <v>110</v>
      </c>
      <c r="I56" s="270">
        <f t="shared" si="12"/>
        <v>1.5840000000000001</v>
      </c>
      <c r="J56" s="251">
        <f t="shared" si="13"/>
        <v>3.726</v>
      </c>
      <c r="K56" s="252">
        <v>4</v>
      </c>
      <c r="L56" s="249" t="s">
        <v>1074</v>
      </c>
    </row>
    <row r="57" spans="1:12">
      <c r="A57" s="343"/>
      <c r="B57" s="249" t="s">
        <v>1133</v>
      </c>
      <c r="C57" s="253" t="s">
        <v>122</v>
      </c>
      <c r="D57" s="253">
        <v>450</v>
      </c>
      <c r="E57" s="249">
        <v>700</v>
      </c>
      <c r="F57" s="252">
        <v>205</v>
      </c>
      <c r="G57" s="252">
        <v>110</v>
      </c>
      <c r="H57" s="252">
        <v>100</v>
      </c>
      <c r="I57" s="270">
        <f t="shared" ref="I57" si="14">F57*G57*H57/1000000</f>
        <v>2.2549999999999999</v>
      </c>
      <c r="J57" s="251">
        <f t="shared" ref="J57" si="15">E57*4.5/1000</f>
        <v>3.15</v>
      </c>
      <c r="K57" s="252">
        <v>1</v>
      </c>
      <c r="L57" s="254" t="s">
        <v>545</v>
      </c>
    </row>
    <row r="58" spans="1:12">
      <c r="A58" s="343"/>
      <c r="B58" s="249" t="s">
        <v>1134</v>
      </c>
      <c r="C58" s="253" t="s">
        <v>122</v>
      </c>
      <c r="D58" s="253">
        <v>600</v>
      </c>
      <c r="E58" s="249">
        <v>900</v>
      </c>
      <c r="F58" s="252">
        <v>280</v>
      </c>
      <c r="G58" s="252">
        <v>100</v>
      </c>
      <c r="H58" s="252">
        <v>100</v>
      </c>
      <c r="I58" s="270">
        <f t="shared" ref="I58" si="16">F58*G58*H58/1000000</f>
        <v>2.8</v>
      </c>
      <c r="J58" s="251">
        <f t="shared" ref="J58" si="17">E58*4.5/1000</f>
        <v>4.05</v>
      </c>
      <c r="K58" s="252">
        <v>1</v>
      </c>
      <c r="L58" s="254" t="s">
        <v>545</v>
      </c>
    </row>
    <row r="59" spans="1:12" s="10" customFormat="1">
      <c r="A59" s="343" t="s">
        <v>123</v>
      </c>
      <c r="B59" s="344">
        <v>46</v>
      </c>
      <c r="C59" s="345"/>
      <c r="D59" s="348">
        <f>SUM(D13:D56)</f>
        <v>209458</v>
      </c>
      <c r="E59" s="349">
        <f>SUM(E13:E56)</f>
        <v>220008</v>
      </c>
      <c r="F59" s="346"/>
      <c r="G59" s="346"/>
      <c r="H59" s="346"/>
      <c r="I59" s="347">
        <f>SUM(I13:I56)</f>
        <v>331.84718000000009</v>
      </c>
      <c r="J59" s="346">
        <f>SUM(J13:J56)</f>
        <v>348.43199999999979</v>
      </c>
      <c r="K59" s="346"/>
      <c r="L59" s="344"/>
    </row>
  </sheetData>
  <mergeCells count="4">
    <mergeCell ref="H1:L5"/>
    <mergeCell ref="E9:I9"/>
    <mergeCell ref="F11:H11"/>
    <mergeCell ref="J11:J12"/>
  </mergeCells>
  <phoneticPr fontId="57" type="noConversion"/>
  <pageMargins left="0.7" right="0.7" top="0.75" bottom="0.75" header="0.3" footer="0.3"/>
  <pageSetup paperSize="9" scale="4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F2BF-E639-49C4-95F0-BCB9298ABEB3}">
  <sheetPr codeName="Sheet3">
    <tabColor rgb="FFFFC000"/>
  </sheetPr>
  <dimension ref="A1:Q495"/>
  <sheetViews>
    <sheetView workbookViewId="0">
      <selection activeCell="G8" sqref="G8"/>
    </sheetView>
  </sheetViews>
  <sheetFormatPr defaultRowHeight="15"/>
  <cols>
    <col min="1" max="1" width="9.140625" style="15"/>
    <col min="2" max="2" width="8.7109375" bestFit="1" customWidth="1"/>
    <col min="3" max="3" width="12.85546875" customWidth="1"/>
    <col min="4" max="4" width="19" customWidth="1"/>
    <col min="5" max="5" width="55.140625" bestFit="1" customWidth="1"/>
    <col min="8" max="8" width="10.42578125" style="15" customWidth="1"/>
    <col min="9" max="10" width="13.7109375" customWidth="1"/>
    <col min="11" max="11" width="9.140625" style="244"/>
    <col min="12" max="12" width="11.85546875" style="248" customWidth="1"/>
    <col min="13" max="13" width="11.28515625" style="15" customWidth="1"/>
    <col min="14" max="14" width="10.42578125" bestFit="1" customWidth="1"/>
    <col min="15" max="15" width="10" customWidth="1"/>
    <col min="16" max="16" width="8.5703125" customWidth="1"/>
    <col min="17" max="17" width="16.28515625" customWidth="1"/>
    <col min="18" max="18" width="3.28515625" customWidth="1"/>
    <col min="21" max="21" width="19.7109375" customWidth="1"/>
    <col min="22" max="22" width="28" customWidth="1"/>
  </cols>
  <sheetData>
    <row r="1" spans="1:17" ht="40.5" customHeight="1">
      <c r="B1" s="6"/>
      <c r="C1" s="511" t="s">
        <v>26</v>
      </c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2"/>
      <c r="Q1" s="513"/>
    </row>
    <row r="2" spans="1:17" ht="15" customHeight="1">
      <c r="B2" s="516" t="s">
        <v>16</v>
      </c>
      <c r="C2" s="518">
        <v>46049</v>
      </c>
      <c r="D2" s="502" t="s">
        <v>11</v>
      </c>
      <c r="E2" s="504" t="s">
        <v>1080</v>
      </c>
      <c r="F2" s="502" t="s">
        <v>14</v>
      </c>
      <c r="G2" s="520" t="s">
        <v>561</v>
      </c>
      <c r="H2" s="521"/>
      <c r="I2" s="522"/>
      <c r="J2" s="1"/>
      <c r="K2" s="526" t="s">
        <v>417</v>
      </c>
      <c r="L2" s="527"/>
      <c r="M2" s="526" t="s">
        <v>562</v>
      </c>
      <c r="N2" s="527"/>
      <c r="O2" s="1"/>
      <c r="P2" s="1"/>
      <c r="Q2" s="514"/>
    </row>
    <row r="3" spans="1:17" ht="15" customHeight="1">
      <c r="B3" s="517"/>
      <c r="C3" s="519"/>
      <c r="D3" s="503"/>
      <c r="E3" s="505"/>
      <c r="F3" s="503"/>
      <c r="G3" s="523"/>
      <c r="H3" s="524"/>
      <c r="I3" s="525"/>
      <c r="J3" s="1"/>
      <c r="K3" s="526" t="s">
        <v>416</v>
      </c>
      <c r="L3" s="527"/>
      <c r="M3" s="526" t="s">
        <v>563</v>
      </c>
      <c r="N3" s="527"/>
      <c r="O3" s="1"/>
      <c r="P3" s="1"/>
      <c r="Q3" s="514"/>
    </row>
    <row r="4" spans="1:17" ht="15" customHeight="1">
      <c r="B4" s="3"/>
      <c r="C4" s="1"/>
      <c r="D4" s="502" t="s">
        <v>12</v>
      </c>
      <c r="E4" s="504">
        <v>120</v>
      </c>
      <c r="F4" s="528"/>
      <c r="G4" s="520" t="s">
        <v>1082</v>
      </c>
      <c r="H4" s="521"/>
      <c r="I4" s="522"/>
      <c r="J4" s="1"/>
      <c r="K4" s="485" t="s">
        <v>20</v>
      </c>
      <c r="L4" s="486"/>
      <c r="M4" s="489" t="s">
        <v>564</v>
      </c>
      <c r="N4" s="490"/>
      <c r="O4" s="1"/>
      <c r="P4" s="10"/>
      <c r="Q4" s="515"/>
    </row>
    <row r="5" spans="1:17">
      <c r="B5" s="499"/>
      <c r="C5" s="501"/>
      <c r="D5" s="503"/>
      <c r="E5" s="505"/>
      <c r="F5" s="529"/>
      <c r="G5" s="531"/>
      <c r="H5" s="532"/>
      <c r="I5" s="533"/>
      <c r="J5" s="1"/>
      <c r="K5" s="487"/>
      <c r="L5" s="488"/>
      <c r="M5" s="491"/>
      <c r="N5" s="492"/>
      <c r="O5" s="1"/>
      <c r="P5" s="175"/>
      <c r="Q5" s="4"/>
    </row>
    <row r="6" spans="1:17" ht="15" customHeight="1">
      <c r="B6" s="500"/>
      <c r="C6" s="501"/>
      <c r="D6" s="502" t="s">
        <v>13</v>
      </c>
      <c r="E6" s="504">
        <v>220</v>
      </c>
      <c r="F6" s="529"/>
      <c r="G6" s="531"/>
      <c r="H6" s="532"/>
      <c r="I6" s="533"/>
      <c r="J6" s="1"/>
      <c r="K6" s="506" t="s">
        <v>21</v>
      </c>
      <c r="L6" s="507"/>
      <c r="M6" s="508"/>
      <c r="N6" s="507"/>
      <c r="O6" s="7" t="s">
        <v>23</v>
      </c>
      <c r="P6" s="8"/>
      <c r="Q6" s="4"/>
    </row>
    <row r="7" spans="1:17">
      <c r="B7" s="5"/>
      <c r="C7" s="2"/>
      <c r="D7" s="503"/>
      <c r="E7" s="505"/>
      <c r="F7" s="530"/>
      <c r="G7" s="523"/>
      <c r="H7" s="524"/>
      <c r="I7" s="525"/>
      <c r="J7" s="2"/>
      <c r="K7" s="506" t="s">
        <v>22</v>
      </c>
      <c r="L7" s="507"/>
      <c r="M7" s="509"/>
      <c r="N7" s="510"/>
      <c r="O7" s="7" t="s">
        <v>24</v>
      </c>
      <c r="P7" s="8"/>
      <c r="Q7" s="4"/>
    </row>
    <row r="8" spans="1:17" ht="47.25" customHeight="1">
      <c r="B8" s="23"/>
      <c r="C8" s="19" t="s">
        <v>68</v>
      </c>
      <c r="D8" s="21" t="s">
        <v>17</v>
      </c>
      <c r="E8" s="19" t="s">
        <v>1</v>
      </c>
      <c r="F8" s="19" t="s">
        <v>6</v>
      </c>
      <c r="G8" s="19" t="s">
        <v>3</v>
      </c>
      <c r="H8" s="167" t="s">
        <v>5</v>
      </c>
      <c r="I8" s="21" t="s">
        <v>2</v>
      </c>
      <c r="J8" s="21" t="s">
        <v>4</v>
      </c>
      <c r="K8" s="493" t="s">
        <v>7</v>
      </c>
      <c r="L8" s="494"/>
      <c r="M8" s="495"/>
      <c r="N8" s="496" t="s">
        <v>10</v>
      </c>
      <c r="O8" s="497"/>
      <c r="P8" s="497"/>
      <c r="Q8" s="498"/>
    </row>
    <row r="9" spans="1:17" ht="33" customHeight="1">
      <c r="A9" s="16" t="s">
        <v>34</v>
      </c>
      <c r="B9" s="24"/>
      <c r="C9" s="20"/>
      <c r="D9" s="22"/>
      <c r="E9" s="20"/>
      <c r="F9" s="20"/>
      <c r="G9" s="20"/>
      <c r="H9" s="168"/>
      <c r="I9" s="22"/>
      <c r="J9" s="22"/>
      <c r="K9" s="267" t="s">
        <v>8</v>
      </c>
      <c r="L9" s="268" t="s">
        <v>532</v>
      </c>
      <c r="M9" s="269" t="s">
        <v>9</v>
      </c>
      <c r="N9" s="34"/>
      <c r="O9" s="35"/>
      <c r="P9" s="35"/>
      <c r="Q9" s="36"/>
    </row>
    <row r="10" spans="1:17" ht="33.75" customHeight="1">
      <c r="A10" s="16">
        <v>1</v>
      </c>
      <c r="B10" s="310" t="b">
        <v>0</v>
      </c>
      <c r="C10" s="257"/>
      <c r="D10" s="163" t="s">
        <v>580</v>
      </c>
      <c r="E10" s="258" t="s">
        <v>142</v>
      </c>
      <c r="F10" s="259">
        <v>1</v>
      </c>
      <c r="G10" s="260">
        <v>1</v>
      </c>
      <c r="H10" s="259" t="s">
        <v>70</v>
      </c>
      <c r="I10" s="259"/>
      <c r="J10" s="259"/>
      <c r="K10" s="261"/>
      <c r="L10" s="262"/>
      <c r="M10" s="263"/>
      <c r="N10" s="264"/>
      <c r="O10" s="265"/>
      <c r="P10" s="265"/>
      <c r="Q10" s="266"/>
    </row>
    <row r="11" spans="1:17" ht="33.75" customHeight="1">
      <c r="A11" s="16">
        <v>3</v>
      </c>
      <c r="B11" s="310" t="b">
        <v>0</v>
      </c>
      <c r="C11" s="257" t="s">
        <v>28</v>
      </c>
      <c r="D11" s="163" t="s">
        <v>471</v>
      </c>
      <c r="E11" s="320" t="s">
        <v>144</v>
      </c>
      <c r="F11" s="323">
        <v>1</v>
      </c>
      <c r="G11" s="260">
        <v>1</v>
      </c>
      <c r="H11" s="323" t="s">
        <v>70</v>
      </c>
      <c r="I11" s="257"/>
      <c r="J11" s="257"/>
      <c r="K11" s="261"/>
      <c r="L11" s="262"/>
      <c r="M11" s="263"/>
      <c r="N11" s="324"/>
      <c r="O11" s="325"/>
      <c r="P11" s="325"/>
      <c r="Q11" s="326"/>
    </row>
    <row r="12" spans="1:17" ht="33.75" customHeight="1">
      <c r="A12" s="16">
        <v>8</v>
      </c>
      <c r="B12" s="310" t="b">
        <v>0</v>
      </c>
      <c r="C12" s="12" t="s">
        <v>32</v>
      </c>
      <c r="D12" s="156" t="s">
        <v>581</v>
      </c>
      <c r="E12" s="155" t="s">
        <v>372</v>
      </c>
      <c r="F12" s="26">
        <v>2</v>
      </c>
      <c r="G12" s="38">
        <v>4</v>
      </c>
      <c r="H12" s="26" t="s">
        <v>70</v>
      </c>
      <c r="I12" s="12"/>
      <c r="J12" s="12"/>
      <c r="K12" s="242"/>
      <c r="L12" s="245"/>
      <c r="M12" s="25"/>
      <c r="N12" s="28"/>
      <c r="O12" s="29"/>
      <c r="P12" s="29"/>
      <c r="Q12" s="30"/>
    </row>
    <row r="13" spans="1:17" ht="33.75" customHeight="1">
      <c r="A13" s="16">
        <v>9</v>
      </c>
      <c r="B13" s="310" t="b">
        <v>0</v>
      </c>
      <c r="C13" s="12" t="s">
        <v>32</v>
      </c>
      <c r="D13" s="156" t="s">
        <v>582</v>
      </c>
      <c r="E13" s="155" t="s">
        <v>373</v>
      </c>
      <c r="F13" s="26">
        <v>2</v>
      </c>
      <c r="G13" s="38">
        <v>4</v>
      </c>
      <c r="H13" s="26" t="s">
        <v>70</v>
      </c>
      <c r="I13" s="12"/>
      <c r="J13" s="12"/>
      <c r="K13" s="242"/>
      <c r="L13" s="245"/>
      <c r="M13" s="25"/>
      <c r="N13" s="31" t="s">
        <v>583</v>
      </c>
      <c r="O13" s="29"/>
      <c r="P13" s="29"/>
      <c r="Q13" s="30"/>
    </row>
    <row r="14" spans="1:17" ht="33.75" customHeight="1">
      <c r="A14" s="16">
        <v>10</v>
      </c>
      <c r="B14" s="310" t="b">
        <v>0</v>
      </c>
      <c r="C14" s="12" t="s">
        <v>32</v>
      </c>
      <c r="D14" s="156" t="s">
        <v>402</v>
      </c>
      <c r="E14" s="155" t="s">
        <v>585</v>
      </c>
      <c r="F14" s="26">
        <v>2</v>
      </c>
      <c r="G14" s="38">
        <v>4</v>
      </c>
      <c r="H14" s="26" t="s">
        <v>70</v>
      </c>
      <c r="I14" s="12"/>
      <c r="J14" s="12"/>
      <c r="K14" s="242"/>
      <c r="L14" s="245"/>
      <c r="M14" s="25"/>
      <c r="N14" s="31" t="s">
        <v>584</v>
      </c>
      <c r="O14" s="29"/>
      <c r="P14" s="29"/>
      <c r="Q14" s="30"/>
    </row>
    <row r="15" spans="1:17" ht="33.75" customHeight="1">
      <c r="A15" s="16">
        <v>11</v>
      </c>
      <c r="B15" s="310" t="b">
        <v>0</v>
      </c>
      <c r="C15" s="12" t="s">
        <v>32</v>
      </c>
      <c r="D15" s="317" t="s">
        <v>403</v>
      </c>
      <c r="E15" s="155" t="s">
        <v>586</v>
      </c>
      <c r="F15" s="26">
        <v>2</v>
      </c>
      <c r="G15" s="38">
        <v>32</v>
      </c>
      <c r="H15" s="26" t="s">
        <v>70</v>
      </c>
      <c r="I15" s="12"/>
      <c r="J15" s="12"/>
      <c r="K15" s="242"/>
      <c r="L15" s="245"/>
      <c r="M15" s="25"/>
      <c r="N15" s="31" t="s">
        <v>587</v>
      </c>
      <c r="O15" s="29"/>
      <c r="P15" s="29"/>
      <c r="Q15" s="30"/>
    </row>
    <row r="16" spans="1:17" ht="33.75" customHeight="1">
      <c r="A16" s="16">
        <v>12</v>
      </c>
      <c r="B16" s="310" t="b">
        <v>0</v>
      </c>
      <c r="C16" s="12" t="s">
        <v>32</v>
      </c>
      <c r="D16" s="156" t="s">
        <v>404</v>
      </c>
      <c r="E16" s="155" t="s">
        <v>588</v>
      </c>
      <c r="F16" s="26">
        <v>2</v>
      </c>
      <c r="G16" s="38">
        <v>32</v>
      </c>
      <c r="H16" s="26" t="s">
        <v>70</v>
      </c>
      <c r="I16" s="12"/>
      <c r="J16" s="12"/>
      <c r="K16" s="242"/>
      <c r="L16" s="245"/>
      <c r="M16" s="25"/>
      <c r="N16" s="31" t="s">
        <v>589</v>
      </c>
      <c r="O16" s="29"/>
      <c r="P16" s="29"/>
      <c r="Q16" s="30"/>
    </row>
    <row r="17" spans="1:17" ht="33.75" customHeight="1">
      <c r="A17" s="16">
        <v>13</v>
      </c>
      <c r="B17" s="310" t="b">
        <v>0</v>
      </c>
      <c r="C17" s="12" t="s">
        <v>32</v>
      </c>
      <c r="D17" s="156" t="s">
        <v>405</v>
      </c>
      <c r="E17" s="155" t="s">
        <v>591</v>
      </c>
      <c r="F17" s="26">
        <v>2</v>
      </c>
      <c r="G17" s="38">
        <v>32</v>
      </c>
      <c r="H17" s="26" t="s">
        <v>70</v>
      </c>
      <c r="I17" s="12"/>
      <c r="J17" s="12"/>
      <c r="K17" s="242"/>
      <c r="L17" s="245"/>
      <c r="M17" s="25"/>
      <c r="N17" s="31" t="s">
        <v>594</v>
      </c>
      <c r="O17" s="29"/>
      <c r="P17" s="29"/>
      <c r="Q17" s="30"/>
    </row>
    <row r="18" spans="1:17" ht="33.75" customHeight="1">
      <c r="A18" s="16">
        <v>14</v>
      </c>
      <c r="B18" s="310" t="b">
        <v>0</v>
      </c>
      <c r="C18" s="12" t="s">
        <v>32</v>
      </c>
      <c r="D18" s="18" t="s">
        <v>590</v>
      </c>
      <c r="E18" s="14" t="s">
        <v>592</v>
      </c>
      <c r="F18" s="26">
        <v>2</v>
      </c>
      <c r="G18" s="38">
        <v>32</v>
      </c>
      <c r="H18" s="26" t="s">
        <v>70</v>
      </c>
      <c r="I18" s="12"/>
      <c r="J18" s="12"/>
      <c r="K18" s="242"/>
      <c r="L18" s="245"/>
      <c r="M18" s="25"/>
      <c r="N18" s="31" t="s">
        <v>595</v>
      </c>
      <c r="O18" s="29"/>
      <c r="P18" s="29"/>
      <c r="Q18" s="30"/>
    </row>
    <row r="19" spans="1:17" ht="26.25">
      <c r="A19" s="16">
        <v>15</v>
      </c>
      <c r="B19" s="310" t="b">
        <v>0</v>
      </c>
      <c r="C19" s="12" t="s">
        <v>32</v>
      </c>
      <c r="D19" s="18" t="s">
        <v>348</v>
      </c>
      <c r="E19" s="14" t="s">
        <v>593</v>
      </c>
      <c r="F19" s="26">
        <v>2</v>
      </c>
      <c r="G19" s="38">
        <v>4</v>
      </c>
      <c r="H19" s="26" t="s">
        <v>70</v>
      </c>
      <c r="I19" s="12"/>
      <c r="J19" s="12"/>
      <c r="K19" s="242"/>
      <c r="L19" s="245"/>
      <c r="M19" s="25"/>
      <c r="N19" s="31" t="s">
        <v>596</v>
      </c>
      <c r="O19" s="29"/>
      <c r="P19" s="29"/>
      <c r="Q19" s="30"/>
    </row>
    <row r="20" spans="1:17" ht="33.75" customHeight="1">
      <c r="A20" s="16">
        <v>16</v>
      </c>
      <c r="B20" s="310" t="b">
        <v>0</v>
      </c>
      <c r="C20" s="12" t="s">
        <v>33</v>
      </c>
      <c r="D20" s="18" t="s">
        <v>597</v>
      </c>
      <c r="E20" s="14" t="s">
        <v>374</v>
      </c>
      <c r="F20" s="26">
        <v>2</v>
      </c>
      <c r="G20" s="38">
        <v>2</v>
      </c>
      <c r="H20" s="26" t="s">
        <v>70</v>
      </c>
      <c r="I20" s="12"/>
      <c r="J20" s="12"/>
      <c r="K20" s="242"/>
      <c r="L20" s="245"/>
      <c r="M20" s="25"/>
      <c r="N20" s="28" t="s">
        <v>349</v>
      </c>
      <c r="O20" s="29"/>
      <c r="P20" s="29"/>
      <c r="Q20" s="30"/>
    </row>
    <row r="21" spans="1:17" ht="26.25">
      <c r="A21" s="16">
        <v>257</v>
      </c>
      <c r="B21" s="310" t="b">
        <v>1</v>
      </c>
      <c r="C21" s="12"/>
      <c r="D21" s="18" t="s">
        <v>515</v>
      </c>
      <c r="E21" s="14" t="s">
        <v>326</v>
      </c>
      <c r="F21" s="26">
        <v>3</v>
      </c>
      <c r="G21" s="38">
        <v>2</v>
      </c>
      <c r="H21" s="26" t="s">
        <v>70</v>
      </c>
      <c r="I21" s="12"/>
      <c r="J21" s="12"/>
      <c r="K21" s="242"/>
      <c r="L21" s="245"/>
      <c r="M21" s="25"/>
      <c r="N21" s="31"/>
      <c r="O21" s="32"/>
      <c r="P21" s="32"/>
      <c r="Q21" s="33"/>
    </row>
    <row r="22" spans="1:17" ht="33.75" customHeight="1">
      <c r="A22" s="16">
        <v>257</v>
      </c>
      <c r="B22" s="310" t="b">
        <v>1</v>
      </c>
      <c r="C22" s="12"/>
      <c r="D22" s="18" t="s">
        <v>515</v>
      </c>
      <c r="E22" s="14" t="s">
        <v>326</v>
      </c>
      <c r="F22" s="26">
        <v>4</v>
      </c>
      <c r="G22" s="38">
        <v>1</v>
      </c>
      <c r="H22" s="26" t="s">
        <v>70</v>
      </c>
      <c r="I22" s="12"/>
      <c r="J22" s="12"/>
      <c r="K22" s="242"/>
      <c r="L22" s="245"/>
      <c r="M22" s="25"/>
      <c r="N22" s="31"/>
      <c r="O22" s="32"/>
      <c r="P22" s="32"/>
      <c r="Q22" s="33"/>
    </row>
    <row r="23" spans="1:17" ht="33.75" customHeight="1">
      <c r="A23" s="16">
        <v>17</v>
      </c>
      <c r="B23" s="310" t="b">
        <v>0</v>
      </c>
      <c r="C23" s="13" t="s">
        <v>69</v>
      </c>
      <c r="D23" s="313" t="s">
        <v>515</v>
      </c>
      <c r="E23" s="14" t="s">
        <v>147</v>
      </c>
      <c r="F23" s="26">
        <v>5</v>
      </c>
      <c r="G23" s="38">
        <v>1</v>
      </c>
      <c r="H23" s="26" t="s">
        <v>70</v>
      </c>
      <c r="I23" s="12"/>
      <c r="J23" s="12"/>
      <c r="K23" s="242"/>
      <c r="L23" s="245"/>
      <c r="M23" s="25"/>
      <c r="N23" s="31"/>
      <c r="O23" s="32"/>
      <c r="P23" s="32"/>
      <c r="Q23" s="33"/>
    </row>
    <row r="24" spans="1:17" ht="33.75" customHeight="1">
      <c r="A24" s="16">
        <v>18</v>
      </c>
      <c r="B24" s="310" t="b">
        <v>0</v>
      </c>
      <c r="C24" s="12"/>
      <c r="D24" s="313" t="s">
        <v>515</v>
      </c>
      <c r="E24" s="14" t="s">
        <v>225</v>
      </c>
      <c r="F24" s="26">
        <v>5</v>
      </c>
      <c r="G24" s="38">
        <v>1</v>
      </c>
      <c r="H24" s="26" t="s">
        <v>70</v>
      </c>
      <c r="I24" s="12"/>
      <c r="J24" s="12"/>
      <c r="K24" s="242" t="s">
        <v>599</v>
      </c>
      <c r="L24" s="245" t="s">
        <v>598</v>
      </c>
      <c r="M24" s="25">
        <v>2</v>
      </c>
      <c r="N24" s="31"/>
      <c r="O24" s="32"/>
      <c r="P24" s="32"/>
      <c r="Q24" s="33"/>
    </row>
    <row r="25" spans="1:17" ht="33.75" customHeight="1">
      <c r="A25" s="16">
        <v>19</v>
      </c>
      <c r="B25" s="310" t="b">
        <v>0</v>
      </c>
      <c r="C25" s="12" t="s">
        <v>550</v>
      </c>
      <c r="D25" s="18" t="s">
        <v>600</v>
      </c>
      <c r="E25" s="14" t="s">
        <v>255</v>
      </c>
      <c r="F25" s="26">
        <v>5</v>
      </c>
      <c r="G25" s="38">
        <v>1</v>
      </c>
      <c r="H25" s="26" t="s">
        <v>70</v>
      </c>
      <c r="I25" s="12"/>
      <c r="J25" s="12"/>
      <c r="K25" s="242"/>
      <c r="L25" s="245"/>
      <c r="M25" s="25"/>
      <c r="N25" s="31"/>
      <c r="O25" s="32"/>
      <c r="P25" s="32"/>
      <c r="Q25" s="33"/>
    </row>
    <row r="26" spans="1:17" ht="33.75" customHeight="1">
      <c r="A26" s="16">
        <v>20</v>
      </c>
      <c r="B26" s="310" t="b">
        <v>0</v>
      </c>
      <c r="C26" s="12" t="s">
        <v>495</v>
      </c>
      <c r="D26" s="163" t="s">
        <v>603</v>
      </c>
      <c r="E26" s="154" t="s">
        <v>496</v>
      </c>
      <c r="F26" s="26">
        <v>5</v>
      </c>
      <c r="G26" s="38">
        <v>1</v>
      </c>
      <c r="H26" s="40" t="s">
        <v>70</v>
      </c>
      <c r="I26" s="12"/>
      <c r="J26" s="12"/>
      <c r="K26" s="242"/>
      <c r="L26" s="245"/>
      <c r="M26" s="25"/>
      <c r="N26" s="217" t="s">
        <v>605</v>
      </c>
      <c r="O26" s="185"/>
      <c r="P26" s="185"/>
      <c r="Q26" s="186"/>
    </row>
    <row r="27" spans="1:17" ht="33.75" customHeight="1">
      <c r="A27" s="16">
        <v>20</v>
      </c>
      <c r="B27" s="310" t="b">
        <v>0</v>
      </c>
      <c r="C27" s="12" t="s">
        <v>602</v>
      </c>
      <c r="D27" s="163" t="s">
        <v>604</v>
      </c>
      <c r="E27" s="154" t="s">
        <v>496</v>
      </c>
      <c r="F27" s="26">
        <v>5</v>
      </c>
      <c r="G27" s="38">
        <v>1</v>
      </c>
      <c r="H27" s="40" t="s">
        <v>70</v>
      </c>
      <c r="I27" s="12"/>
      <c r="J27" s="12"/>
      <c r="K27" s="242"/>
      <c r="L27" s="245"/>
      <c r="M27" s="25"/>
      <c r="N27" s="217" t="s">
        <v>605</v>
      </c>
      <c r="O27" s="185"/>
      <c r="P27" s="185"/>
      <c r="Q27" s="186"/>
    </row>
    <row r="28" spans="1:17" ht="33.75" customHeight="1">
      <c r="A28" s="16">
        <v>21</v>
      </c>
      <c r="B28" s="310" t="b">
        <v>0</v>
      </c>
      <c r="C28" s="12" t="s">
        <v>28</v>
      </c>
      <c r="D28" s="18" t="s">
        <v>471</v>
      </c>
      <c r="E28" s="154" t="s">
        <v>144</v>
      </c>
      <c r="F28" s="26">
        <v>5</v>
      </c>
      <c r="G28" s="38">
        <v>1</v>
      </c>
      <c r="H28" s="40" t="s">
        <v>70</v>
      </c>
      <c r="I28" s="12"/>
      <c r="J28" s="12"/>
      <c r="K28" s="242"/>
      <c r="L28" s="245"/>
      <c r="M28" s="25"/>
      <c r="N28" s="31"/>
      <c r="O28" s="32"/>
      <c r="P28" s="32"/>
      <c r="Q28" s="33"/>
    </row>
    <row r="29" spans="1:17" ht="33.75" customHeight="1">
      <c r="A29" s="16">
        <v>22</v>
      </c>
      <c r="B29" s="310" t="b">
        <v>0</v>
      </c>
      <c r="C29" s="12" t="s">
        <v>606</v>
      </c>
      <c r="D29" s="18" t="s">
        <v>607</v>
      </c>
      <c r="E29" s="14" t="s">
        <v>148</v>
      </c>
      <c r="F29" s="26">
        <v>5</v>
      </c>
      <c r="G29" s="38">
        <v>1</v>
      </c>
      <c r="H29" s="26" t="s">
        <v>70</v>
      </c>
      <c r="I29" s="12"/>
      <c r="J29" s="12"/>
      <c r="K29" s="242"/>
      <c r="L29" s="245"/>
      <c r="M29" s="25"/>
      <c r="N29" s="31" t="s">
        <v>610</v>
      </c>
      <c r="O29" s="29"/>
      <c r="P29" s="29"/>
      <c r="Q29" s="30"/>
    </row>
    <row r="30" spans="1:17" ht="33.75" customHeight="1">
      <c r="A30" s="16">
        <v>22</v>
      </c>
      <c r="B30" s="310" t="b">
        <v>0</v>
      </c>
      <c r="C30" s="12" t="s">
        <v>474</v>
      </c>
      <c r="D30" s="18" t="s">
        <v>608</v>
      </c>
      <c r="E30" s="14" t="s">
        <v>148</v>
      </c>
      <c r="F30" s="26">
        <v>5</v>
      </c>
      <c r="G30" s="38">
        <v>1</v>
      </c>
      <c r="H30" s="26" t="s">
        <v>70</v>
      </c>
      <c r="I30" s="12"/>
      <c r="J30" s="12"/>
      <c r="K30" s="242"/>
      <c r="L30" s="245"/>
      <c r="M30" s="25"/>
      <c r="N30" s="31" t="s">
        <v>609</v>
      </c>
      <c r="O30" s="29"/>
      <c r="P30" s="29"/>
      <c r="Q30" s="30"/>
    </row>
    <row r="31" spans="1:17" ht="33.75" customHeight="1">
      <c r="A31" s="16">
        <v>23</v>
      </c>
      <c r="B31" s="310" t="b">
        <v>0</v>
      </c>
      <c r="C31" s="12" t="s">
        <v>35</v>
      </c>
      <c r="D31" s="18" t="s">
        <v>601</v>
      </c>
      <c r="E31" s="14" t="s">
        <v>174</v>
      </c>
      <c r="F31" s="26">
        <v>5</v>
      </c>
      <c r="G31" s="38">
        <v>1</v>
      </c>
      <c r="H31" s="26" t="s">
        <v>70</v>
      </c>
      <c r="I31" s="12"/>
      <c r="J31" s="12"/>
      <c r="K31" s="242"/>
      <c r="L31" s="245"/>
      <c r="M31" s="25"/>
      <c r="N31" s="28" t="s">
        <v>380</v>
      </c>
      <c r="O31" s="29"/>
      <c r="P31" s="29"/>
      <c r="Q31" s="30"/>
    </row>
    <row r="32" spans="1:17" ht="33.75" customHeight="1">
      <c r="A32" s="16">
        <v>24</v>
      </c>
      <c r="B32" s="310" t="b">
        <v>0</v>
      </c>
      <c r="C32" s="12"/>
      <c r="D32" s="18" t="s">
        <v>441</v>
      </c>
      <c r="E32" s="14" t="s">
        <v>611</v>
      </c>
      <c r="F32" s="40">
        <v>5</v>
      </c>
      <c r="G32" s="38">
        <v>3</v>
      </c>
      <c r="H32" s="26" t="s">
        <v>70</v>
      </c>
      <c r="I32" s="12"/>
      <c r="J32" s="12"/>
      <c r="K32" s="242"/>
      <c r="L32" s="245"/>
      <c r="M32" s="25"/>
      <c r="N32" s="31" t="s">
        <v>429</v>
      </c>
      <c r="O32" s="32"/>
      <c r="P32" s="32"/>
      <c r="Q32" s="33"/>
    </row>
    <row r="33" spans="1:17" ht="33.75" customHeight="1">
      <c r="A33" s="16">
        <v>25</v>
      </c>
      <c r="B33" s="310" t="b">
        <v>0</v>
      </c>
      <c r="C33" s="12"/>
      <c r="D33" s="18" t="s">
        <v>442</v>
      </c>
      <c r="E33" s="14" t="s">
        <v>191</v>
      </c>
      <c r="F33" s="40">
        <v>5</v>
      </c>
      <c r="G33" s="38">
        <v>3</v>
      </c>
      <c r="H33" s="26" t="s">
        <v>70</v>
      </c>
      <c r="I33" s="12"/>
      <c r="J33" s="12"/>
      <c r="K33" s="242"/>
      <c r="L33" s="245"/>
      <c r="M33" s="25"/>
      <c r="N33" s="28" t="s">
        <v>451</v>
      </c>
      <c r="O33" s="32"/>
      <c r="P33" s="32"/>
      <c r="Q33" s="33"/>
    </row>
    <row r="34" spans="1:17" ht="33.75" customHeight="1">
      <c r="A34" s="16">
        <v>26</v>
      </c>
      <c r="B34" s="310" t="b">
        <v>0</v>
      </c>
      <c r="C34" s="12"/>
      <c r="D34" s="18" t="s">
        <v>443</v>
      </c>
      <c r="E34" s="14" t="s">
        <v>516</v>
      </c>
      <c r="F34" s="40">
        <v>5</v>
      </c>
      <c r="G34" s="38">
        <v>3</v>
      </c>
      <c r="H34" s="26" t="s">
        <v>70</v>
      </c>
      <c r="I34" s="12"/>
      <c r="J34" s="12"/>
      <c r="K34" s="242"/>
      <c r="L34" s="245"/>
      <c r="M34" s="25"/>
      <c r="N34" s="28" t="s">
        <v>448</v>
      </c>
      <c r="O34" s="32"/>
      <c r="P34" s="32"/>
      <c r="Q34" s="33"/>
    </row>
    <row r="35" spans="1:17" ht="33.75" customHeight="1">
      <c r="A35" s="16">
        <v>27</v>
      </c>
      <c r="B35" s="310" t="b">
        <v>0</v>
      </c>
      <c r="C35" s="12"/>
      <c r="D35" s="18" t="s">
        <v>444</v>
      </c>
      <c r="E35" s="14" t="s">
        <v>445</v>
      </c>
      <c r="F35" s="40">
        <v>5</v>
      </c>
      <c r="G35" s="38">
        <v>3</v>
      </c>
      <c r="H35" s="26" t="s">
        <v>70</v>
      </c>
      <c r="I35" s="12"/>
      <c r="J35" s="12"/>
      <c r="K35" s="242"/>
      <c r="L35" s="245"/>
      <c r="M35" s="25"/>
      <c r="N35" s="28" t="s">
        <v>449</v>
      </c>
      <c r="O35" s="32"/>
      <c r="P35" s="32"/>
      <c r="Q35" s="33"/>
    </row>
    <row r="36" spans="1:17" ht="33.75" customHeight="1">
      <c r="A36" s="16">
        <v>28</v>
      </c>
      <c r="B36" s="310" t="b">
        <v>0</v>
      </c>
      <c r="C36" s="12"/>
      <c r="D36" s="18" t="s">
        <v>446</v>
      </c>
      <c r="E36" s="14" t="s">
        <v>447</v>
      </c>
      <c r="F36" s="40">
        <v>5</v>
      </c>
      <c r="G36" s="38">
        <v>3</v>
      </c>
      <c r="H36" s="26" t="s">
        <v>70</v>
      </c>
      <c r="I36" s="12"/>
      <c r="J36" s="12"/>
      <c r="K36" s="242"/>
      <c r="L36" s="245"/>
      <c r="M36" s="25"/>
      <c r="N36" s="28" t="s">
        <v>450</v>
      </c>
      <c r="O36" s="32"/>
      <c r="P36" s="32"/>
      <c r="Q36" s="33"/>
    </row>
    <row r="37" spans="1:17" ht="33.75" customHeight="1">
      <c r="A37" s="16">
        <v>33</v>
      </c>
      <c r="B37" s="310" t="b">
        <v>0</v>
      </c>
      <c r="C37" s="12" t="s">
        <v>36</v>
      </c>
      <c r="D37" s="18" t="s">
        <v>612</v>
      </c>
      <c r="E37" s="14" t="s">
        <v>149</v>
      </c>
      <c r="F37" s="26">
        <v>6</v>
      </c>
      <c r="G37" s="38">
        <v>2</v>
      </c>
      <c r="H37" s="26" t="s">
        <v>70</v>
      </c>
      <c r="I37" s="12"/>
      <c r="J37" s="12"/>
      <c r="K37" s="242"/>
      <c r="L37" s="245"/>
      <c r="M37" s="25"/>
      <c r="N37" s="28" t="s">
        <v>62</v>
      </c>
      <c r="O37" s="29"/>
      <c r="P37" s="29"/>
      <c r="Q37" s="30"/>
    </row>
    <row r="38" spans="1:17" ht="33.75" customHeight="1">
      <c r="A38" s="16">
        <v>33</v>
      </c>
      <c r="B38" s="310" t="b">
        <v>0</v>
      </c>
      <c r="C38" s="12" t="s">
        <v>36</v>
      </c>
      <c r="D38" s="18" t="s">
        <v>612</v>
      </c>
      <c r="E38" s="14" t="s">
        <v>149</v>
      </c>
      <c r="F38" s="26">
        <v>7</v>
      </c>
      <c r="G38" s="38">
        <v>2</v>
      </c>
      <c r="H38" s="26" t="s">
        <v>70</v>
      </c>
      <c r="I38" s="12"/>
      <c r="J38" s="12"/>
      <c r="K38" s="242"/>
      <c r="L38" s="245"/>
      <c r="M38" s="25"/>
      <c r="N38" s="28" t="s">
        <v>62</v>
      </c>
      <c r="O38" s="29"/>
      <c r="P38" s="29"/>
      <c r="Q38" s="30"/>
    </row>
    <row r="39" spans="1:17" ht="33.75" customHeight="1">
      <c r="A39" s="16">
        <v>33</v>
      </c>
      <c r="B39" s="310" t="b">
        <v>0</v>
      </c>
      <c r="C39" s="12" t="s">
        <v>36</v>
      </c>
      <c r="D39" s="18" t="s">
        <v>613</v>
      </c>
      <c r="E39" s="14" t="s">
        <v>149</v>
      </c>
      <c r="F39" s="26">
        <v>8</v>
      </c>
      <c r="G39" s="38">
        <v>3</v>
      </c>
      <c r="H39" s="26" t="s">
        <v>70</v>
      </c>
      <c r="I39" s="12"/>
      <c r="J39" s="12"/>
      <c r="K39" s="242"/>
      <c r="L39" s="245"/>
      <c r="M39" s="25"/>
      <c r="N39" s="28" t="s">
        <v>62</v>
      </c>
      <c r="O39" s="29"/>
      <c r="P39" s="29"/>
      <c r="Q39" s="30"/>
    </row>
    <row r="40" spans="1:17" ht="33.75" customHeight="1">
      <c r="A40" s="16">
        <v>33</v>
      </c>
      <c r="B40" s="310" t="b">
        <v>0</v>
      </c>
      <c r="C40" s="12" t="s">
        <v>36</v>
      </c>
      <c r="D40" s="163" t="s">
        <v>613</v>
      </c>
      <c r="E40" s="14" t="s">
        <v>149</v>
      </c>
      <c r="F40" s="26">
        <v>9</v>
      </c>
      <c r="G40" s="38">
        <v>1</v>
      </c>
      <c r="H40" s="26" t="s">
        <v>70</v>
      </c>
      <c r="I40" s="12"/>
      <c r="J40" s="12"/>
      <c r="K40" s="242"/>
      <c r="L40" s="245"/>
      <c r="M40" s="25"/>
      <c r="N40" s="28" t="s">
        <v>62</v>
      </c>
      <c r="O40" s="29"/>
      <c r="P40" s="29"/>
      <c r="Q40" s="30"/>
    </row>
    <row r="41" spans="1:17" ht="33.75" customHeight="1">
      <c r="A41" s="16">
        <v>33</v>
      </c>
      <c r="B41" s="310" t="b">
        <v>0</v>
      </c>
      <c r="C41" s="12" t="s">
        <v>36</v>
      </c>
      <c r="D41" s="163" t="s">
        <v>614</v>
      </c>
      <c r="E41" s="14" t="s">
        <v>149</v>
      </c>
      <c r="F41" s="26">
        <v>9</v>
      </c>
      <c r="G41" s="38">
        <v>2</v>
      </c>
      <c r="H41" s="26" t="s">
        <v>70</v>
      </c>
      <c r="I41" s="12"/>
      <c r="J41" s="12"/>
      <c r="K41" s="242"/>
      <c r="L41" s="245"/>
      <c r="M41" s="25"/>
      <c r="N41" s="28" t="s">
        <v>62</v>
      </c>
      <c r="O41" s="29"/>
      <c r="P41" s="29"/>
      <c r="Q41" s="30"/>
    </row>
    <row r="42" spans="1:17" ht="33.75" customHeight="1">
      <c r="A42" s="16">
        <v>33</v>
      </c>
      <c r="B42" s="310" t="b">
        <v>0</v>
      </c>
      <c r="C42" s="12" t="s">
        <v>36</v>
      </c>
      <c r="D42" s="163" t="s">
        <v>614</v>
      </c>
      <c r="E42" s="14" t="s">
        <v>149</v>
      </c>
      <c r="F42" s="26">
        <v>10</v>
      </c>
      <c r="G42" s="38">
        <v>3</v>
      </c>
      <c r="H42" s="26" t="s">
        <v>70</v>
      </c>
      <c r="I42" s="12"/>
      <c r="J42" s="12"/>
      <c r="K42" s="242"/>
      <c r="L42" s="245"/>
      <c r="M42" s="25"/>
      <c r="N42" s="28" t="s">
        <v>62</v>
      </c>
      <c r="O42" s="29"/>
      <c r="P42" s="29"/>
      <c r="Q42" s="30"/>
    </row>
    <row r="43" spans="1:17" ht="33.75" customHeight="1">
      <c r="A43" s="16">
        <v>33</v>
      </c>
      <c r="B43" s="310" t="b">
        <v>0</v>
      </c>
      <c r="C43" s="12" t="s">
        <v>36</v>
      </c>
      <c r="D43" s="163" t="s">
        <v>614</v>
      </c>
      <c r="E43" s="14" t="s">
        <v>149</v>
      </c>
      <c r="F43" s="26">
        <v>11</v>
      </c>
      <c r="G43" s="38">
        <v>3</v>
      </c>
      <c r="H43" s="26" t="s">
        <v>70</v>
      </c>
      <c r="I43" s="12"/>
      <c r="J43" s="12"/>
      <c r="K43" s="242"/>
      <c r="L43" s="245"/>
      <c r="M43" s="25"/>
      <c r="N43" s="28" t="s">
        <v>62</v>
      </c>
      <c r="O43" s="29"/>
      <c r="P43" s="29"/>
      <c r="Q43" s="30"/>
    </row>
    <row r="44" spans="1:17" ht="33.75" customHeight="1">
      <c r="A44" s="16">
        <v>33</v>
      </c>
      <c r="B44" s="310" t="b">
        <v>0</v>
      </c>
      <c r="C44" s="12" t="s">
        <v>36</v>
      </c>
      <c r="D44" s="18" t="s">
        <v>614</v>
      </c>
      <c r="E44" s="14" t="s">
        <v>149</v>
      </c>
      <c r="F44" s="26">
        <v>12</v>
      </c>
      <c r="G44" s="38">
        <v>3</v>
      </c>
      <c r="H44" s="26" t="s">
        <v>70</v>
      </c>
      <c r="I44" s="12"/>
      <c r="J44" s="12"/>
      <c r="K44" s="242"/>
      <c r="L44" s="245"/>
      <c r="M44" s="25"/>
      <c r="N44" s="28" t="s">
        <v>62</v>
      </c>
      <c r="O44" s="29"/>
      <c r="P44" s="29"/>
      <c r="Q44" s="30"/>
    </row>
    <row r="45" spans="1:17" ht="33.75" customHeight="1">
      <c r="A45" s="16">
        <v>33</v>
      </c>
      <c r="B45" s="310" t="b">
        <v>0</v>
      </c>
      <c r="C45" s="12" t="s">
        <v>36</v>
      </c>
      <c r="D45" s="18" t="s">
        <v>614</v>
      </c>
      <c r="E45" s="14" t="s">
        <v>149</v>
      </c>
      <c r="F45" s="26">
        <v>13</v>
      </c>
      <c r="G45" s="38">
        <v>3</v>
      </c>
      <c r="H45" s="26" t="s">
        <v>70</v>
      </c>
      <c r="I45" s="12"/>
      <c r="J45" s="12"/>
      <c r="K45" s="242"/>
      <c r="L45" s="245"/>
      <c r="M45" s="25"/>
      <c r="N45" s="28" t="s">
        <v>62</v>
      </c>
      <c r="O45" s="29"/>
      <c r="P45" s="29"/>
      <c r="Q45" s="30"/>
    </row>
    <row r="46" spans="1:17" ht="33.75" customHeight="1">
      <c r="A46" s="16">
        <v>33</v>
      </c>
      <c r="B46" s="310" t="b">
        <v>0</v>
      </c>
      <c r="C46" s="12" t="s">
        <v>36</v>
      </c>
      <c r="D46" s="18" t="s">
        <v>614</v>
      </c>
      <c r="E46" s="14" t="s">
        <v>149</v>
      </c>
      <c r="F46" s="26">
        <v>14</v>
      </c>
      <c r="G46" s="38">
        <v>3</v>
      </c>
      <c r="H46" s="26" t="s">
        <v>70</v>
      </c>
      <c r="I46" s="12"/>
      <c r="J46" s="12"/>
      <c r="K46" s="242"/>
      <c r="L46" s="245"/>
      <c r="M46" s="25"/>
      <c r="N46" s="28" t="s">
        <v>62</v>
      </c>
      <c r="O46" s="29"/>
      <c r="P46" s="29"/>
      <c r="Q46" s="30"/>
    </row>
    <row r="47" spans="1:17" ht="33.75" customHeight="1">
      <c r="A47" s="16">
        <v>33</v>
      </c>
      <c r="B47" s="310" t="b">
        <v>0</v>
      </c>
      <c r="C47" s="12" t="s">
        <v>36</v>
      </c>
      <c r="D47" s="18" t="s">
        <v>614</v>
      </c>
      <c r="E47" s="14" t="s">
        <v>149</v>
      </c>
      <c r="F47" s="26">
        <v>15</v>
      </c>
      <c r="G47" s="38">
        <v>3</v>
      </c>
      <c r="H47" s="26" t="s">
        <v>70</v>
      </c>
      <c r="I47" s="12"/>
      <c r="J47" s="12"/>
      <c r="K47" s="242"/>
      <c r="L47" s="245"/>
      <c r="M47" s="25"/>
      <c r="N47" s="28" t="s">
        <v>62</v>
      </c>
      <c r="O47" s="29"/>
      <c r="P47" s="29"/>
      <c r="Q47" s="30"/>
    </row>
    <row r="48" spans="1:17" ht="33.75" customHeight="1">
      <c r="A48" s="16">
        <v>34</v>
      </c>
      <c r="B48" s="310" t="b">
        <v>0</v>
      </c>
      <c r="C48" s="12" t="s">
        <v>42</v>
      </c>
      <c r="D48" s="18" t="s">
        <v>615</v>
      </c>
      <c r="E48" s="14" t="s">
        <v>154</v>
      </c>
      <c r="F48" s="26">
        <v>16</v>
      </c>
      <c r="G48" s="38">
        <v>3</v>
      </c>
      <c r="H48" s="40" t="s">
        <v>70</v>
      </c>
      <c r="I48" s="12"/>
      <c r="J48" s="12"/>
      <c r="K48" s="242"/>
      <c r="L48" s="245"/>
      <c r="M48" s="25"/>
      <c r="N48" s="31" t="s">
        <v>616</v>
      </c>
      <c r="O48" s="29"/>
      <c r="P48" s="29"/>
      <c r="Q48" s="30"/>
    </row>
    <row r="49" spans="1:17" ht="33.75" customHeight="1">
      <c r="A49" s="16">
        <v>34</v>
      </c>
      <c r="B49" s="310" t="b">
        <v>0</v>
      </c>
      <c r="C49" s="12" t="s">
        <v>42</v>
      </c>
      <c r="D49" s="18" t="s">
        <v>615</v>
      </c>
      <c r="E49" s="14" t="s">
        <v>154</v>
      </c>
      <c r="F49" s="26">
        <v>17</v>
      </c>
      <c r="G49" s="38">
        <v>3</v>
      </c>
      <c r="H49" s="40" t="s">
        <v>70</v>
      </c>
      <c r="I49" s="12"/>
      <c r="J49" s="12"/>
      <c r="K49" s="242"/>
      <c r="L49" s="245"/>
      <c r="M49" s="25"/>
      <c r="N49" s="31" t="s">
        <v>616</v>
      </c>
      <c r="O49" s="29"/>
      <c r="P49" s="29"/>
      <c r="Q49" s="30"/>
    </row>
    <row r="50" spans="1:17" ht="33.75" customHeight="1">
      <c r="A50" s="16">
        <v>34</v>
      </c>
      <c r="B50" s="310" t="b">
        <v>0</v>
      </c>
      <c r="C50" s="12" t="s">
        <v>42</v>
      </c>
      <c r="D50" s="18" t="s">
        <v>615</v>
      </c>
      <c r="E50" s="14" t="s">
        <v>154</v>
      </c>
      <c r="F50" s="26">
        <v>18</v>
      </c>
      <c r="G50" s="38">
        <v>4</v>
      </c>
      <c r="H50" s="40" t="s">
        <v>70</v>
      </c>
      <c r="I50" s="12"/>
      <c r="J50" s="12"/>
      <c r="K50" s="242"/>
      <c r="L50" s="245"/>
      <c r="M50" s="25"/>
      <c r="N50" s="31" t="s">
        <v>616</v>
      </c>
      <c r="O50" s="29"/>
      <c r="P50" s="29"/>
      <c r="Q50" s="30"/>
    </row>
    <row r="51" spans="1:17" ht="33.75" customHeight="1">
      <c r="A51" s="16">
        <v>34</v>
      </c>
      <c r="B51" s="310" t="b">
        <v>0</v>
      </c>
      <c r="C51" s="12" t="s">
        <v>42</v>
      </c>
      <c r="D51" s="18" t="s">
        <v>615</v>
      </c>
      <c r="E51" s="14" t="s">
        <v>154</v>
      </c>
      <c r="F51" s="26">
        <v>19</v>
      </c>
      <c r="G51" s="38">
        <v>4</v>
      </c>
      <c r="H51" s="40" t="s">
        <v>70</v>
      </c>
      <c r="I51" s="12"/>
      <c r="J51" s="12"/>
      <c r="K51" s="242"/>
      <c r="L51" s="245"/>
      <c r="M51" s="25"/>
      <c r="N51" s="31" t="s">
        <v>616</v>
      </c>
      <c r="O51" s="29"/>
      <c r="P51" s="29"/>
      <c r="Q51" s="30"/>
    </row>
    <row r="52" spans="1:17" ht="33.75" customHeight="1">
      <c r="A52" s="16">
        <v>45</v>
      </c>
      <c r="B52" s="310" t="b">
        <v>0</v>
      </c>
      <c r="C52" s="12"/>
      <c r="D52" s="313" t="s">
        <v>515</v>
      </c>
      <c r="E52" s="14" t="s">
        <v>209</v>
      </c>
      <c r="F52" s="26">
        <v>20</v>
      </c>
      <c r="G52" s="38">
        <v>2</v>
      </c>
      <c r="H52" s="26" t="s">
        <v>70</v>
      </c>
      <c r="I52" s="12"/>
      <c r="J52" s="12"/>
      <c r="K52" s="242"/>
      <c r="L52" s="245"/>
      <c r="M52" s="25"/>
      <c r="N52" s="28"/>
      <c r="O52" s="157"/>
      <c r="P52" s="157"/>
      <c r="Q52" s="158"/>
    </row>
    <row r="53" spans="1:17" ht="33.75" customHeight="1">
      <c r="A53" s="16">
        <v>45</v>
      </c>
      <c r="B53" s="310" t="b">
        <v>0</v>
      </c>
      <c r="C53" s="12"/>
      <c r="D53" s="313" t="s">
        <v>515</v>
      </c>
      <c r="E53" s="14" t="s">
        <v>209</v>
      </c>
      <c r="F53" s="26">
        <v>21</v>
      </c>
      <c r="G53" s="38">
        <v>2</v>
      </c>
      <c r="H53" s="26" t="s">
        <v>70</v>
      </c>
      <c r="I53" s="12"/>
      <c r="J53" s="12"/>
      <c r="K53" s="242"/>
      <c r="L53" s="245"/>
      <c r="M53" s="25"/>
      <c r="N53" s="28"/>
      <c r="O53" s="157"/>
      <c r="P53" s="157"/>
      <c r="Q53" s="158"/>
    </row>
    <row r="54" spans="1:17" ht="33.75" customHeight="1">
      <c r="A54" s="16">
        <v>43</v>
      </c>
      <c r="B54" s="310" t="b">
        <v>0</v>
      </c>
      <c r="C54" s="12"/>
      <c r="D54" s="313" t="s">
        <v>515</v>
      </c>
      <c r="E54" s="14" t="s">
        <v>210</v>
      </c>
      <c r="F54" s="26">
        <v>22</v>
      </c>
      <c r="G54" s="38">
        <v>4</v>
      </c>
      <c r="H54" s="26" t="s">
        <v>70</v>
      </c>
      <c r="I54" s="12"/>
      <c r="J54" s="12"/>
      <c r="K54" s="242"/>
      <c r="L54" s="245"/>
      <c r="M54" s="25"/>
      <c r="N54" s="28"/>
      <c r="O54" s="29"/>
      <c r="P54" s="29"/>
      <c r="Q54" s="30"/>
    </row>
    <row r="55" spans="1:17" ht="33.75" customHeight="1">
      <c r="A55" s="16">
        <v>297</v>
      </c>
      <c r="B55" s="310" t="b">
        <v>0</v>
      </c>
      <c r="C55" s="12"/>
      <c r="D55" s="18" t="s">
        <v>515</v>
      </c>
      <c r="E55" s="14" t="s">
        <v>211</v>
      </c>
      <c r="F55" s="26">
        <v>23</v>
      </c>
      <c r="G55" s="38">
        <v>1</v>
      </c>
      <c r="H55" s="26" t="s">
        <v>70</v>
      </c>
      <c r="I55" s="12"/>
      <c r="J55" s="12"/>
      <c r="K55" s="242"/>
      <c r="L55" s="245"/>
      <c r="M55" s="25"/>
      <c r="N55" s="31" t="s">
        <v>62</v>
      </c>
      <c r="O55" s="32"/>
      <c r="P55" s="32"/>
      <c r="Q55" s="33"/>
    </row>
    <row r="56" spans="1:17" ht="33.75" customHeight="1">
      <c r="A56" s="16">
        <v>29</v>
      </c>
      <c r="B56" s="310" t="b">
        <v>0</v>
      </c>
      <c r="C56" s="12" t="s">
        <v>43</v>
      </c>
      <c r="D56" s="313" t="s">
        <v>515</v>
      </c>
      <c r="E56" s="14" t="s">
        <v>167</v>
      </c>
      <c r="F56" s="26">
        <v>24</v>
      </c>
      <c r="G56" s="38">
        <v>2</v>
      </c>
      <c r="H56" s="26" t="s">
        <v>70</v>
      </c>
      <c r="I56" s="12"/>
      <c r="J56" s="12"/>
      <c r="K56" s="242" t="s">
        <v>599</v>
      </c>
      <c r="L56" s="245" t="s">
        <v>618</v>
      </c>
      <c r="M56" s="311" t="s">
        <v>617</v>
      </c>
      <c r="N56" s="28" t="s">
        <v>62</v>
      </c>
      <c r="O56" s="29"/>
      <c r="P56" s="29"/>
      <c r="Q56" s="30"/>
    </row>
    <row r="57" spans="1:17" ht="33.75" customHeight="1">
      <c r="A57" s="16">
        <v>30</v>
      </c>
      <c r="B57" s="310" t="b">
        <v>0</v>
      </c>
      <c r="C57" s="12" t="s">
        <v>43</v>
      </c>
      <c r="D57" s="313" t="s">
        <v>515</v>
      </c>
      <c r="E57" s="14" t="s">
        <v>168</v>
      </c>
      <c r="F57" s="26">
        <v>24</v>
      </c>
      <c r="G57" s="38">
        <v>4</v>
      </c>
      <c r="H57" s="26" t="s">
        <v>70</v>
      </c>
      <c r="I57" s="12"/>
      <c r="J57" s="12"/>
      <c r="K57" s="242" t="s">
        <v>599</v>
      </c>
      <c r="L57" s="245" t="s">
        <v>618</v>
      </c>
      <c r="M57" s="25">
        <v>2</v>
      </c>
      <c r="N57" s="28" t="s">
        <v>62</v>
      </c>
      <c r="O57" s="29"/>
      <c r="P57" s="29"/>
      <c r="Q57" s="30"/>
    </row>
    <row r="58" spans="1:17" ht="33.75" customHeight="1">
      <c r="A58" s="16">
        <v>31</v>
      </c>
      <c r="B58" s="310" t="b">
        <v>0</v>
      </c>
      <c r="C58" s="12" t="s">
        <v>43</v>
      </c>
      <c r="D58" s="313" t="s">
        <v>515</v>
      </c>
      <c r="E58" s="14" t="s">
        <v>168</v>
      </c>
      <c r="F58" s="26">
        <v>24</v>
      </c>
      <c r="G58" s="38">
        <v>2</v>
      </c>
      <c r="H58" s="26" t="s">
        <v>70</v>
      </c>
      <c r="I58" s="12"/>
      <c r="J58" s="12"/>
      <c r="K58" s="242" t="s">
        <v>599</v>
      </c>
      <c r="L58" s="245" t="s">
        <v>618</v>
      </c>
      <c r="M58" s="25">
        <v>3</v>
      </c>
      <c r="N58" s="31" t="s">
        <v>414</v>
      </c>
      <c r="O58" s="29"/>
      <c r="P58" s="29"/>
      <c r="Q58" s="30"/>
    </row>
    <row r="59" spans="1:17" ht="33.75" customHeight="1">
      <c r="A59" s="16">
        <v>32</v>
      </c>
      <c r="B59" s="310" t="b">
        <v>0</v>
      </c>
      <c r="C59" s="12"/>
      <c r="D59" s="198" t="s">
        <v>515</v>
      </c>
      <c r="E59" s="14" t="s">
        <v>353</v>
      </c>
      <c r="F59" s="26">
        <v>24</v>
      </c>
      <c r="G59" s="38">
        <v>28</v>
      </c>
      <c r="H59" s="26" t="s">
        <v>70</v>
      </c>
      <c r="I59" s="12"/>
      <c r="J59" s="12"/>
      <c r="K59" s="242"/>
      <c r="L59" s="245"/>
      <c r="M59" s="25"/>
      <c r="N59" s="28"/>
      <c r="O59" s="29"/>
      <c r="P59" s="29"/>
      <c r="Q59" s="30"/>
    </row>
    <row r="60" spans="1:17" ht="33.75" customHeight="1">
      <c r="A60" s="16">
        <v>166</v>
      </c>
      <c r="B60" s="310" t="b">
        <v>0</v>
      </c>
      <c r="C60" s="12" t="s">
        <v>45</v>
      </c>
      <c r="D60" s="198" t="s">
        <v>515</v>
      </c>
      <c r="E60" s="154" t="s">
        <v>273</v>
      </c>
      <c r="F60" s="40">
        <v>24</v>
      </c>
      <c r="G60" s="38">
        <v>4</v>
      </c>
      <c r="H60" s="26" t="s">
        <v>70</v>
      </c>
      <c r="I60" s="12"/>
      <c r="J60" s="12"/>
      <c r="K60" s="242"/>
      <c r="L60" s="245" t="s">
        <v>619</v>
      </c>
      <c r="M60" s="179">
        <v>12</v>
      </c>
      <c r="N60" s="31" t="s">
        <v>620</v>
      </c>
      <c r="O60" s="29"/>
      <c r="P60" s="29"/>
      <c r="Q60" s="30" t="e" vm="1">
        <v>#VALUE!</v>
      </c>
    </row>
    <row r="61" spans="1:17" ht="33.75" customHeight="1">
      <c r="A61" s="16">
        <v>66</v>
      </c>
      <c r="B61" s="310" t="b">
        <v>0</v>
      </c>
      <c r="C61" s="12" t="s">
        <v>27</v>
      </c>
      <c r="D61" s="313" t="s">
        <v>515</v>
      </c>
      <c r="E61" s="14" t="s">
        <v>158</v>
      </c>
      <c r="F61" s="26">
        <v>25</v>
      </c>
      <c r="G61" s="38">
        <v>1</v>
      </c>
      <c r="H61" s="26" t="s">
        <v>70</v>
      </c>
      <c r="I61" s="12"/>
      <c r="J61" s="12"/>
      <c r="K61" s="242"/>
      <c r="L61" s="245" t="s">
        <v>621</v>
      </c>
      <c r="M61" s="25">
        <v>4</v>
      </c>
      <c r="N61" s="28"/>
      <c r="O61" s="29"/>
      <c r="P61" s="29"/>
      <c r="Q61" s="30"/>
    </row>
    <row r="62" spans="1:17" ht="33.75" customHeight="1">
      <c r="A62" s="16">
        <v>67</v>
      </c>
      <c r="B62" s="310" t="b">
        <v>0</v>
      </c>
      <c r="C62" s="312" t="s">
        <v>622</v>
      </c>
      <c r="D62" s="313" t="s">
        <v>515</v>
      </c>
      <c r="E62" s="14" t="s">
        <v>213</v>
      </c>
      <c r="F62" s="26">
        <v>25</v>
      </c>
      <c r="G62" s="38">
        <v>2</v>
      </c>
      <c r="H62" s="40" t="s">
        <v>70</v>
      </c>
      <c r="I62" s="12"/>
      <c r="J62" s="12"/>
      <c r="K62" s="242"/>
      <c r="L62" s="245"/>
      <c r="M62" s="25">
        <v>13</v>
      </c>
      <c r="N62" s="28" t="s">
        <v>397</v>
      </c>
      <c r="O62" s="29"/>
      <c r="P62" s="29"/>
      <c r="Q62" s="30"/>
    </row>
    <row r="63" spans="1:17" ht="33.75" customHeight="1">
      <c r="A63" s="16">
        <v>68</v>
      </c>
      <c r="B63" s="310" t="b">
        <v>0</v>
      </c>
      <c r="C63" s="55"/>
      <c r="D63" s="198" t="s">
        <v>515</v>
      </c>
      <c r="E63" s="14" t="s">
        <v>213</v>
      </c>
      <c r="F63" s="26">
        <v>25</v>
      </c>
      <c r="G63" s="38">
        <v>2</v>
      </c>
      <c r="H63" s="40" t="s">
        <v>70</v>
      </c>
      <c r="I63" s="12"/>
      <c r="J63" s="12"/>
      <c r="K63" s="242"/>
      <c r="L63" s="245" t="s">
        <v>638</v>
      </c>
      <c r="M63" s="25">
        <v>10</v>
      </c>
      <c r="N63" s="28" t="s">
        <v>248</v>
      </c>
      <c r="O63" s="29"/>
      <c r="P63" s="29"/>
      <c r="Q63" s="30"/>
    </row>
    <row r="64" spans="1:17" ht="33.75" customHeight="1">
      <c r="A64" s="16">
        <v>69</v>
      </c>
      <c r="B64" s="310" t="b">
        <v>0</v>
      </c>
      <c r="C64" s="12"/>
      <c r="D64" s="313" t="s">
        <v>515</v>
      </c>
      <c r="E64" s="14" t="s">
        <v>159</v>
      </c>
      <c r="F64" s="26">
        <v>25</v>
      </c>
      <c r="G64" s="38">
        <v>1</v>
      </c>
      <c r="H64" s="26" t="s">
        <v>70</v>
      </c>
      <c r="I64" s="12"/>
      <c r="J64" s="12"/>
      <c r="K64" s="242"/>
      <c r="L64" s="245"/>
      <c r="M64" s="284" t="s">
        <v>623</v>
      </c>
      <c r="N64" s="28"/>
      <c r="O64" s="29"/>
      <c r="P64" s="29"/>
      <c r="Q64" s="30"/>
    </row>
    <row r="65" spans="1:17" ht="33.75" customHeight="1">
      <c r="A65" s="16">
        <v>69</v>
      </c>
      <c r="B65" s="310" t="b">
        <v>0</v>
      </c>
      <c r="C65" s="12"/>
      <c r="D65" s="198" t="s">
        <v>515</v>
      </c>
      <c r="E65" s="14" t="s">
        <v>159</v>
      </c>
      <c r="F65" s="26">
        <v>25</v>
      </c>
      <c r="G65" s="38">
        <v>1</v>
      </c>
      <c r="H65" s="26" t="s">
        <v>70</v>
      </c>
      <c r="I65" s="12"/>
      <c r="J65" s="12"/>
      <c r="K65" s="242"/>
      <c r="L65" s="245"/>
      <c r="M65" s="284" t="s">
        <v>624</v>
      </c>
      <c r="N65" s="28"/>
      <c r="O65" s="29"/>
      <c r="P65" s="29"/>
      <c r="Q65" s="30"/>
    </row>
    <row r="66" spans="1:17" ht="33.75" customHeight="1">
      <c r="A66" s="16"/>
      <c r="B66" s="310"/>
      <c r="C66" s="12" t="s">
        <v>745</v>
      </c>
      <c r="D66" s="198" t="s">
        <v>746</v>
      </c>
      <c r="E66" s="14" t="s">
        <v>335</v>
      </c>
      <c r="F66" s="26">
        <v>25</v>
      </c>
      <c r="G66" s="38">
        <v>1</v>
      </c>
      <c r="H66" s="26" t="s">
        <v>70</v>
      </c>
      <c r="I66" s="12"/>
      <c r="J66" s="12"/>
      <c r="K66" s="242"/>
      <c r="L66" s="245"/>
      <c r="M66" s="284"/>
      <c r="N66" s="31" t="s">
        <v>747</v>
      </c>
      <c r="O66" s="29"/>
      <c r="P66" s="29"/>
      <c r="Q66" s="30"/>
    </row>
    <row r="67" spans="1:17" ht="33.75" customHeight="1">
      <c r="A67" s="16">
        <v>70</v>
      </c>
      <c r="B67" s="310" t="b">
        <v>0</v>
      </c>
      <c r="C67" s="12"/>
      <c r="D67" s="198" t="s">
        <v>515</v>
      </c>
      <c r="E67" s="14" t="s">
        <v>225</v>
      </c>
      <c r="F67" s="26">
        <v>25</v>
      </c>
      <c r="G67" s="38">
        <v>1</v>
      </c>
      <c r="H67" s="26" t="s">
        <v>70</v>
      </c>
      <c r="I67" s="12"/>
      <c r="J67" s="12"/>
      <c r="K67" s="242"/>
      <c r="L67" s="245"/>
      <c r="M67" s="25">
        <v>2</v>
      </c>
      <c r="N67" s="28" t="s">
        <v>625</v>
      </c>
      <c r="O67" s="29"/>
      <c r="P67" s="29"/>
      <c r="Q67" s="30"/>
    </row>
    <row r="68" spans="1:17" ht="33.75" customHeight="1">
      <c r="A68" s="16">
        <v>70</v>
      </c>
      <c r="B68" s="310" t="b">
        <v>0</v>
      </c>
      <c r="C68" s="12"/>
      <c r="D68" s="198" t="s">
        <v>515</v>
      </c>
      <c r="E68" s="14" t="s">
        <v>225</v>
      </c>
      <c r="F68" s="26">
        <v>25</v>
      </c>
      <c r="G68" s="38">
        <v>1</v>
      </c>
      <c r="H68" s="26" t="s">
        <v>70</v>
      </c>
      <c r="I68" s="12"/>
      <c r="J68" s="12"/>
      <c r="K68" s="242"/>
      <c r="L68" s="245"/>
      <c r="M68" s="284" t="s">
        <v>627</v>
      </c>
      <c r="N68" s="28" t="s">
        <v>626</v>
      </c>
      <c r="O68" s="29"/>
      <c r="P68" s="29"/>
      <c r="Q68" s="30"/>
    </row>
    <row r="69" spans="1:17" ht="33.75" customHeight="1">
      <c r="A69" s="16">
        <v>71</v>
      </c>
      <c r="B69" s="310" t="b">
        <v>0</v>
      </c>
      <c r="C69" s="12" t="s">
        <v>628</v>
      </c>
      <c r="D69" s="163" t="s">
        <v>600</v>
      </c>
      <c r="E69" s="14" t="s">
        <v>255</v>
      </c>
      <c r="F69" s="26">
        <v>25</v>
      </c>
      <c r="G69" s="38">
        <v>1</v>
      </c>
      <c r="H69" s="26" t="s">
        <v>70</v>
      </c>
      <c r="I69" s="12"/>
      <c r="J69" s="12"/>
      <c r="K69" s="242"/>
      <c r="L69" s="245"/>
      <c r="M69" s="284"/>
      <c r="N69" s="31" t="s">
        <v>629</v>
      </c>
      <c r="O69" s="29"/>
      <c r="P69" s="29"/>
      <c r="Q69" s="30"/>
    </row>
    <row r="70" spans="1:17" ht="33.75" customHeight="1">
      <c r="A70" s="16">
        <v>72</v>
      </c>
      <c r="B70" s="310" t="b">
        <v>0</v>
      </c>
      <c r="C70" s="12" t="s">
        <v>552</v>
      </c>
      <c r="D70" s="163" t="s">
        <v>630</v>
      </c>
      <c r="E70" s="14" t="s">
        <v>334</v>
      </c>
      <c r="F70" s="26">
        <v>25</v>
      </c>
      <c r="G70" s="38">
        <v>1</v>
      </c>
      <c r="H70" s="26" t="s">
        <v>70</v>
      </c>
      <c r="I70" s="12"/>
      <c r="J70" s="12"/>
      <c r="K70" s="242"/>
      <c r="L70" s="245"/>
      <c r="M70" s="284"/>
      <c r="N70" s="217" t="s">
        <v>553</v>
      </c>
      <c r="O70" s="29"/>
      <c r="P70" s="29"/>
      <c r="Q70" s="30"/>
    </row>
    <row r="71" spans="1:17" ht="33.75" customHeight="1">
      <c r="A71" s="16">
        <v>73</v>
      </c>
      <c r="B71" s="310" t="b">
        <v>0</v>
      </c>
      <c r="C71" s="12"/>
      <c r="D71" s="198" t="s">
        <v>515</v>
      </c>
      <c r="E71" s="14" t="s">
        <v>160</v>
      </c>
      <c r="F71" s="26">
        <v>25</v>
      </c>
      <c r="G71" s="38">
        <v>1</v>
      </c>
      <c r="H71" s="26" t="s">
        <v>70</v>
      </c>
      <c r="I71" s="12"/>
      <c r="J71" s="12"/>
      <c r="K71" s="242"/>
      <c r="L71" s="245"/>
      <c r="M71" s="25">
        <v>6</v>
      </c>
      <c r="N71" s="28" t="s">
        <v>625</v>
      </c>
      <c r="O71" s="29"/>
      <c r="P71" s="29"/>
      <c r="Q71" s="30"/>
    </row>
    <row r="72" spans="1:17" ht="33.75" customHeight="1">
      <c r="A72" s="16">
        <v>73</v>
      </c>
      <c r="B72" s="310" t="b">
        <v>0</v>
      </c>
      <c r="C72" s="12"/>
      <c r="D72" s="198" t="s">
        <v>515</v>
      </c>
      <c r="E72" s="14" t="s">
        <v>160</v>
      </c>
      <c r="F72" s="26">
        <v>25</v>
      </c>
      <c r="G72" s="38">
        <v>1</v>
      </c>
      <c r="H72" s="26" t="s">
        <v>70</v>
      </c>
      <c r="I72" s="12"/>
      <c r="J72" s="12"/>
      <c r="K72" s="242"/>
      <c r="L72" s="245"/>
      <c r="M72" s="284" t="s">
        <v>631</v>
      </c>
      <c r="N72" s="28" t="s">
        <v>626</v>
      </c>
      <c r="O72" s="29"/>
      <c r="P72" s="29"/>
      <c r="Q72" s="30"/>
    </row>
    <row r="73" spans="1:17" ht="33.75" customHeight="1">
      <c r="A73" s="16">
        <v>75</v>
      </c>
      <c r="B73" s="310" t="b">
        <v>0</v>
      </c>
      <c r="C73" s="12" t="s">
        <v>632</v>
      </c>
      <c r="D73" s="163" t="s">
        <v>630</v>
      </c>
      <c r="E73" s="14" t="s">
        <v>334</v>
      </c>
      <c r="F73" s="26">
        <v>25</v>
      </c>
      <c r="G73" s="38">
        <v>1</v>
      </c>
      <c r="H73" s="26" t="s">
        <v>70</v>
      </c>
      <c r="I73" s="12"/>
      <c r="J73" s="12"/>
      <c r="K73" s="242"/>
      <c r="L73" s="245"/>
      <c r="M73" s="284"/>
      <c r="N73" s="31" t="s">
        <v>633</v>
      </c>
      <c r="O73" s="29"/>
      <c r="P73" s="29"/>
      <c r="Q73" s="30"/>
    </row>
    <row r="74" spans="1:17" ht="33.75" customHeight="1">
      <c r="A74" s="16">
        <v>74</v>
      </c>
      <c r="B74" s="310" t="b">
        <v>0</v>
      </c>
      <c r="C74" s="12"/>
      <c r="D74" s="198" t="s">
        <v>515</v>
      </c>
      <c r="E74" s="14" t="s">
        <v>161</v>
      </c>
      <c r="F74" s="26">
        <v>25</v>
      </c>
      <c r="G74" s="38">
        <v>1</v>
      </c>
      <c r="H74" s="26" t="s">
        <v>70</v>
      </c>
      <c r="I74" s="12"/>
      <c r="J74" s="12"/>
      <c r="K74" s="242"/>
      <c r="L74" s="245"/>
      <c r="M74" s="25">
        <v>5</v>
      </c>
      <c r="N74" s="28" t="s">
        <v>625</v>
      </c>
      <c r="O74" s="29"/>
      <c r="P74" s="29"/>
      <c r="Q74" s="30"/>
    </row>
    <row r="75" spans="1:17" ht="33.75" customHeight="1">
      <c r="A75" s="16">
        <v>74</v>
      </c>
      <c r="B75" s="310" t="b">
        <v>0</v>
      </c>
      <c r="C75" s="12"/>
      <c r="D75" s="198" t="s">
        <v>515</v>
      </c>
      <c r="E75" s="14" t="s">
        <v>161</v>
      </c>
      <c r="F75" s="26">
        <v>25</v>
      </c>
      <c r="G75" s="38">
        <v>1</v>
      </c>
      <c r="H75" s="26" t="s">
        <v>70</v>
      </c>
      <c r="I75" s="12"/>
      <c r="J75" s="12"/>
      <c r="K75" s="242"/>
      <c r="L75" s="245"/>
      <c r="M75" s="284" t="s">
        <v>634</v>
      </c>
      <c r="N75" s="28" t="s">
        <v>626</v>
      </c>
      <c r="O75" s="29"/>
      <c r="P75" s="29"/>
      <c r="Q75" s="30"/>
    </row>
    <row r="76" spans="1:17" ht="33.75" customHeight="1">
      <c r="A76" s="16">
        <v>75</v>
      </c>
      <c r="B76" s="310" t="b">
        <v>0</v>
      </c>
      <c r="C76" s="12" t="s">
        <v>554</v>
      </c>
      <c r="D76" s="163" t="s">
        <v>630</v>
      </c>
      <c r="E76" s="14" t="s">
        <v>334</v>
      </c>
      <c r="F76" s="26">
        <v>25</v>
      </c>
      <c r="G76" s="38">
        <v>1</v>
      </c>
      <c r="H76" s="26" t="s">
        <v>70</v>
      </c>
      <c r="I76" s="12"/>
      <c r="J76" s="12"/>
      <c r="K76" s="242"/>
      <c r="L76" s="245"/>
      <c r="M76" s="284"/>
      <c r="N76" s="31" t="s">
        <v>635</v>
      </c>
      <c r="O76" s="29"/>
      <c r="P76" s="29"/>
      <c r="Q76" s="30"/>
    </row>
    <row r="77" spans="1:17" ht="33.75" customHeight="1">
      <c r="A77" s="16">
        <v>76</v>
      </c>
      <c r="B77" s="310" t="b">
        <v>0</v>
      </c>
      <c r="C77" s="12"/>
      <c r="D77" s="198" t="s">
        <v>515</v>
      </c>
      <c r="E77" s="14" t="s">
        <v>162</v>
      </c>
      <c r="F77" s="26">
        <v>25</v>
      </c>
      <c r="G77" s="38">
        <v>1</v>
      </c>
      <c r="H77" s="26" t="s">
        <v>70</v>
      </c>
      <c r="I77" s="12"/>
      <c r="J77" s="12"/>
      <c r="K77" s="242"/>
      <c r="L77" s="245"/>
      <c r="M77" s="25">
        <v>12</v>
      </c>
      <c r="N77" s="28" t="s">
        <v>625</v>
      </c>
      <c r="O77" s="29"/>
      <c r="P77" s="29"/>
      <c r="Q77" s="30"/>
    </row>
    <row r="78" spans="1:17" ht="33.75" customHeight="1">
      <c r="A78" s="16">
        <v>76</v>
      </c>
      <c r="B78" s="310" t="b">
        <v>0</v>
      </c>
      <c r="C78" s="12"/>
      <c r="D78" s="198" t="s">
        <v>515</v>
      </c>
      <c r="E78" s="14" t="s">
        <v>162</v>
      </c>
      <c r="F78" s="26">
        <v>25</v>
      </c>
      <c r="G78" s="38">
        <v>1</v>
      </c>
      <c r="H78" s="26" t="s">
        <v>70</v>
      </c>
      <c r="I78" s="12"/>
      <c r="J78" s="12"/>
      <c r="K78" s="242"/>
      <c r="L78" s="245"/>
      <c r="M78" s="284" t="s">
        <v>636</v>
      </c>
      <c r="N78" s="28" t="s">
        <v>626</v>
      </c>
      <c r="O78" s="29"/>
      <c r="P78" s="29"/>
      <c r="Q78" s="30"/>
    </row>
    <row r="79" spans="1:17" ht="33.75" customHeight="1">
      <c r="A79" s="16">
        <v>77</v>
      </c>
      <c r="B79" s="310" t="b">
        <v>0</v>
      </c>
      <c r="C79" s="12" t="s">
        <v>555</v>
      </c>
      <c r="D79" s="163" t="s">
        <v>630</v>
      </c>
      <c r="E79" s="14" t="s">
        <v>334</v>
      </c>
      <c r="F79" s="26">
        <v>25</v>
      </c>
      <c r="G79" s="38">
        <v>1</v>
      </c>
      <c r="H79" s="26" t="s">
        <v>70</v>
      </c>
      <c r="I79" s="12"/>
      <c r="J79" s="12"/>
      <c r="K79" s="242"/>
      <c r="L79" s="245"/>
      <c r="M79" s="284"/>
      <c r="N79" s="28"/>
      <c r="O79" s="29"/>
      <c r="P79" s="29"/>
      <c r="Q79" s="30"/>
    </row>
    <row r="80" spans="1:17" ht="33.75" customHeight="1">
      <c r="A80" s="16">
        <v>78</v>
      </c>
      <c r="B80" s="310" t="b">
        <v>0</v>
      </c>
      <c r="C80" s="12"/>
      <c r="D80" s="198" t="s">
        <v>515</v>
      </c>
      <c r="E80" s="154" t="s">
        <v>163</v>
      </c>
      <c r="F80" s="26">
        <v>25</v>
      </c>
      <c r="G80" s="38">
        <v>1</v>
      </c>
      <c r="H80" s="26" t="s">
        <v>70</v>
      </c>
      <c r="I80" s="12"/>
      <c r="J80" s="12"/>
      <c r="K80" s="242"/>
      <c r="L80" s="245"/>
      <c r="M80" s="25">
        <v>3</v>
      </c>
      <c r="N80" s="28" t="s">
        <v>625</v>
      </c>
      <c r="O80" s="29"/>
      <c r="P80" s="29"/>
      <c r="Q80" s="30"/>
    </row>
    <row r="81" spans="1:17" ht="33.75" customHeight="1">
      <c r="A81" s="16">
        <v>78</v>
      </c>
      <c r="B81" s="310" t="b">
        <v>0</v>
      </c>
      <c r="C81" s="12"/>
      <c r="D81" s="198" t="s">
        <v>515</v>
      </c>
      <c r="E81" s="154" t="s">
        <v>163</v>
      </c>
      <c r="F81" s="26">
        <v>25</v>
      </c>
      <c r="G81" s="38">
        <v>1</v>
      </c>
      <c r="H81" s="26" t="s">
        <v>70</v>
      </c>
      <c r="I81" s="12"/>
      <c r="J81" s="12"/>
      <c r="K81" s="242"/>
      <c r="L81" s="245"/>
      <c r="M81" s="284" t="s">
        <v>637</v>
      </c>
      <c r="N81" s="28" t="s">
        <v>626</v>
      </c>
      <c r="O81" s="29"/>
      <c r="P81" s="29"/>
      <c r="Q81" s="30"/>
    </row>
    <row r="82" spans="1:17" ht="33.75" customHeight="1">
      <c r="A82" s="16">
        <v>79</v>
      </c>
      <c r="B82" s="310" t="b">
        <v>0</v>
      </c>
      <c r="C82" s="12" t="s">
        <v>551</v>
      </c>
      <c r="D82" s="163" t="s">
        <v>600</v>
      </c>
      <c r="E82" s="14" t="s">
        <v>255</v>
      </c>
      <c r="F82" s="26">
        <v>25</v>
      </c>
      <c r="G82" s="38">
        <v>1</v>
      </c>
      <c r="H82" s="26" t="s">
        <v>70</v>
      </c>
      <c r="I82" s="12"/>
      <c r="J82" s="12"/>
      <c r="K82" s="242"/>
      <c r="L82" s="245"/>
      <c r="M82" s="284"/>
      <c r="N82" s="28"/>
      <c r="O82" s="29"/>
      <c r="P82" s="29"/>
      <c r="Q82" s="30"/>
    </row>
    <row r="83" spans="1:17" ht="33.75" customHeight="1">
      <c r="A83" s="16">
        <v>81</v>
      </c>
      <c r="B83" s="310" t="b">
        <v>0</v>
      </c>
      <c r="C83" s="12"/>
      <c r="D83" s="198" t="s">
        <v>515</v>
      </c>
      <c r="E83" s="14" t="s">
        <v>169</v>
      </c>
      <c r="F83" s="26">
        <v>25</v>
      </c>
      <c r="G83" s="38">
        <v>4</v>
      </c>
      <c r="H83" s="26" t="s">
        <v>70</v>
      </c>
      <c r="I83" s="12"/>
      <c r="J83" s="12"/>
      <c r="K83" s="242"/>
      <c r="L83" s="245"/>
      <c r="M83" s="25">
        <v>9</v>
      </c>
      <c r="N83" s="28"/>
      <c r="O83" s="29"/>
      <c r="P83" s="29"/>
      <c r="Q83" s="30"/>
    </row>
    <row r="84" spans="1:17" ht="33.75" customHeight="1">
      <c r="A84" s="16">
        <v>82</v>
      </c>
      <c r="B84" s="310" t="b">
        <v>0</v>
      </c>
      <c r="C84" s="12"/>
      <c r="D84" s="198" t="s">
        <v>515</v>
      </c>
      <c r="E84" s="14" t="s">
        <v>398</v>
      </c>
      <c r="F84" s="26">
        <v>25</v>
      </c>
      <c r="G84" s="38">
        <v>3</v>
      </c>
      <c r="H84" s="26" t="s">
        <v>70</v>
      </c>
      <c r="I84" s="12"/>
      <c r="J84" s="12"/>
      <c r="K84" s="242"/>
      <c r="L84" s="245"/>
      <c r="M84" s="25">
        <v>8</v>
      </c>
      <c r="N84" s="28"/>
      <c r="O84" s="29"/>
      <c r="P84" s="29"/>
      <c r="Q84" s="30"/>
    </row>
    <row r="85" spans="1:17" ht="33.75" customHeight="1">
      <c r="A85" s="16">
        <v>84</v>
      </c>
      <c r="B85" s="310" t="b">
        <v>0</v>
      </c>
      <c r="C85" s="12"/>
      <c r="D85" s="198" t="s">
        <v>515</v>
      </c>
      <c r="E85" s="14" t="s">
        <v>164</v>
      </c>
      <c r="F85" s="26">
        <v>25</v>
      </c>
      <c r="G85" s="38">
        <v>1</v>
      </c>
      <c r="H85" s="26" t="s">
        <v>70</v>
      </c>
      <c r="I85" s="12"/>
      <c r="J85" s="12"/>
      <c r="K85" s="242"/>
      <c r="L85" s="245"/>
      <c r="M85" s="25">
        <v>7</v>
      </c>
      <c r="N85" s="28"/>
      <c r="O85" s="29"/>
      <c r="P85" s="29"/>
      <c r="Q85" s="30"/>
    </row>
    <row r="86" spans="1:17" ht="33.75" customHeight="1">
      <c r="A86" s="16">
        <v>88</v>
      </c>
      <c r="B86" s="310" t="b">
        <v>0</v>
      </c>
      <c r="C86" s="12"/>
      <c r="D86" s="198" t="s">
        <v>515</v>
      </c>
      <c r="E86" s="154" t="s">
        <v>171</v>
      </c>
      <c r="F86" s="26">
        <v>25</v>
      </c>
      <c r="G86" s="38">
        <v>2</v>
      </c>
      <c r="H86" s="26" t="s">
        <v>70</v>
      </c>
      <c r="I86" s="12"/>
      <c r="J86" s="12"/>
      <c r="K86" s="242"/>
      <c r="L86" s="245"/>
      <c r="M86" s="284" t="s">
        <v>639</v>
      </c>
      <c r="N86" s="28" t="s">
        <v>519</v>
      </c>
      <c r="O86" s="32"/>
      <c r="P86" s="32"/>
      <c r="Q86" s="33"/>
    </row>
    <row r="87" spans="1:17" ht="33.75" customHeight="1">
      <c r="A87" s="16">
        <v>89</v>
      </c>
      <c r="B87" s="310" t="b">
        <v>0</v>
      </c>
      <c r="C87" s="12"/>
      <c r="D87" s="198" t="s">
        <v>515</v>
      </c>
      <c r="E87" s="14" t="s">
        <v>518</v>
      </c>
      <c r="F87" s="26">
        <v>25</v>
      </c>
      <c r="G87" s="38">
        <v>1</v>
      </c>
      <c r="H87" s="26" t="s">
        <v>70</v>
      </c>
      <c r="I87" s="12"/>
      <c r="J87" s="12"/>
      <c r="K87" s="242"/>
      <c r="L87" s="245"/>
      <c r="M87" s="284" t="s">
        <v>640</v>
      </c>
      <c r="N87" s="28"/>
      <c r="O87" s="32"/>
      <c r="P87" s="32"/>
      <c r="Q87" s="33"/>
    </row>
    <row r="88" spans="1:17" ht="33.75" customHeight="1">
      <c r="A88" s="16">
        <v>91</v>
      </c>
      <c r="B88" s="310" t="b">
        <v>0</v>
      </c>
      <c r="C88" s="12"/>
      <c r="D88" s="198" t="s">
        <v>515</v>
      </c>
      <c r="E88" s="14" t="s">
        <v>258</v>
      </c>
      <c r="F88" s="26">
        <v>25</v>
      </c>
      <c r="G88" s="38">
        <v>2</v>
      </c>
      <c r="H88" s="26" t="s">
        <v>70</v>
      </c>
      <c r="I88" s="12"/>
      <c r="J88" s="12"/>
      <c r="K88" s="242"/>
      <c r="L88" s="245"/>
      <c r="M88" s="179">
        <v>4</v>
      </c>
      <c r="N88" s="28"/>
      <c r="O88" s="32"/>
      <c r="P88" s="32"/>
      <c r="Q88" s="33"/>
    </row>
    <row r="89" spans="1:17" ht="33.75" customHeight="1">
      <c r="A89" s="16">
        <v>91</v>
      </c>
      <c r="B89" s="310" t="b">
        <v>0</v>
      </c>
      <c r="C89" s="12"/>
      <c r="D89" s="198" t="s">
        <v>515</v>
      </c>
      <c r="E89" s="14" t="s">
        <v>258</v>
      </c>
      <c r="F89" s="26">
        <v>25</v>
      </c>
      <c r="G89" s="38">
        <v>2</v>
      </c>
      <c r="H89" s="26" t="s">
        <v>70</v>
      </c>
      <c r="I89" s="12"/>
      <c r="J89" s="12"/>
      <c r="K89" s="242"/>
      <c r="L89" s="245"/>
      <c r="M89" s="179">
        <v>5</v>
      </c>
      <c r="N89" s="28"/>
      <c r="O89" s="32"/>
      <c r="P89" s="32"/>
      <c r="Q89" s="33"/>
    </row>
    <row r="90" spans="1:17" ht="33.75" customHeight="1">
      <c r="A90" s="16">
        <v>93</v>
      </c>
      <c r="B90" s="310" t="b">
        <v>0</v>
      </c>
      <c r="C90" s="12"/>
      <c r="D90" s="198" t="s">
        <v>515</v>
      </c>
      <c r="E90" s="14" t="s">
        <v>557</v>
      </c>
      <c r="F90" s="26">
        <v>25</v>
      </c>
      <c r="G90" s="38">
        <v>2</v>
      </c>
      <c r="H90" s="26" t="s">
        <v>70</v>
      </c>
      <c r="I90" s="12"/>
      <c r="J90" s="12"/>
      <c r="K90" s="242"/>
      <c r="L90" s="245"/>
      <c r="M90" s="179">
        <v>6</v>
      </c>
      <c r="N90" s="28"/>
      <c r="O90" s="32"/>
      <c r="P90" s="32"/>
      <c r="Q90" s="33"/>
    </row>
    <row r="91" spans="1:17" ht="33.75" customHeight="1">
      <c r="A91" s="16">
        <v>92</v>
      </c>
      <c r="B91" s="310" t="b">
        <v>0</v>
      </c>
      <c r="C91" s="12"/>
      <c r="D91" s="198" t="s">
        <v>515</v>
      </c>
      <c r="E91" s="14" t="s">
        <v>556</v>
      </c>
      <c r="F91" s="26">
        <v>25</v>
      </c>
      <c r="G91" s="38">
        <v>2</v>
      </c>
      <c r="H91" s="26" t="s">
        <v>70</v>
      </c>
      <c r="I91" s="12"/>
      <c r="J91" s="12"/>
      <c r="K91" s="242"/>
      <c r="L91" s="245"/>
      <c r="M91" s="179">
        <v>1</v>
      </c>
      <c r="N91" s="28"/>
      <c r="O91" s="32"/>
      <c r="P91" s="32"/>
      <c r="Q91" s="33"/>
    </row>
    <row r="92" spans="1:17" ht="33.75" customHeight="1">
      <c r="A92" s="16">
        <v>92</v>
      </c>
      <c r="B92" s="310" t="b">
        <v>0</v>
      </c>
      <c r="C92" s="12"/>
      <c r="D92" s="198" t="s">
        <v>515</v>
      </c>
      <c r="E92" s="14" t="s">
        <v>556</v>
      </c>
      <c r="F92" s="26">
        <v>25</v>
      </c>
      <c r="G92" s="38">
        <v>2</v>
      </c>
      <c r="H92" s="26" t="s">
        <v>70</v>
      </c>
      <c r="I92" s="12"/>
      <c r="J92" s="12"/>
      <c r="K92" s="242"/>
      <c r="L92" s="245"/>
      <c r="M92" s="179">
        <v>2</v>
      </c>
      <c r="N92" s="28"/>
      <c r="O92" s="32"/>
      <c r="P92" s="32"/>
      <c r="Q92" s="33"/>
    </row>
    <row r="93" spans="1:17" ht="33.75" customHeight="1">
      <c r="A93" s="16">
        <v>93</v>
      </c>
      <c r="B93" s="310" t="b">
        <v>0</v>
      </c>
      <c r="C93" s="12"/>
      <c r="D93" s="198" t="s">
        <v>515</v>
      </c>
      <c r="E93" s="14" t="s">
        <v>557</v>
      </c>
      <c r="F93" s="26">
        <v>25</v>
      </c>
      <c r="G93" s="38">
        <v>2</v>
      </c>
      <c r="H93" s="26" t="s">
        <v>70</v>
      </c>
      <c r="I93" s="12"/>
      <c r="J93" s="12"/>
      <c r="K93" s="242"/>
      <c r="L93" s="245"/>
      <c r="M93" s="179">
        <v>3</v>
      </c>
      <c r="N93" s="28"/>
      <c r="O93" s="32"/>
      <c r="P93" s="32"/>
      <c r="Q93" s="33"/>
    </row>
    <row r="94" spans="1:17" ht="33.75" customHeight="1">
      <c r="A94" s="16">
        <v>95</v>
      </c>
      <c r="B94" s="310" t="b">
        <v>0</v>
      </c>
      <c r="C94" s="12"/>
      <c r="D94" s="163" t="s">
        <v>642</v>
      </c>
      <c r="E94" s="14" t="s">
        <v>241</v>
      </c>
      <c r="F94" s="26">
        <v>26</v>
      </c>
      <c r="G94" s="38">
        <v>2</v>
      </c>
      <c r="H94" s="26" t="s">
        <v>641</v>
      </c>
      <c r="I94" s="12"/>
      <c r="J94" s="12"/>
      <c r="K94" s="242"/>
      <c r="L94" s="245"/>
      <c r="M94" s="25"/>
      <c r="N94" s="28"/>
      <c r="O94" s="29"/>
      <c r="P94" s="29"/>
      <c r="Q94" s="30"/>
    </row>
    <row r="95" spans="1:17" ht="33.75" customHeight="1">
      <c r="A95" s="16">
        <v>97</v>
      </c>
      <c r="B95" s="310" t="b">
        <v>0</v>
      </c>
      <c r="C95" s="12" t="s">
        <v>49</v>
      </c>
      <c r="D95" s="163" t="s">
        <v>711</v>
      </c>
      <c r="E95" s="14" t="s">
        <v>464</v>
      </c>
      <c r="F95" s="40">
        <v>26</v>
      </c>
      <c r="G95" s="38">
        <v>1</v>
      </c>
      <c r="H95" s="26" t="s">
        <v>70</v>
      </c>
      <c r="I95" s="12"/>
      <c r="J95" s="12"/>
      <c r="K95" s="242"/>
      <c r="L95" s="245"/>
      <c r="M95" s="179"/>
      <c r="N95" s="31"/>
      <c r="O95" s="32"/>
      <c r="P95" s="32"/>
      <c r="Q95" s="33"/>
    </row>
    <row r="96" spans="1:17" ht="33.75" customHeight="1">
      <c r="A96" s="16">
        <v>98</v>
      </c>
      <c r="B96" s="310" t="b">
        <v>0</v>
      </c>
      <c r="C96" s="12"/>
      <c r="D96" s="198" t="s">
        <v>515</v>
      </c>
      <c r="E96" s="14" t="s">
        <v>520</v>
      </c>
      <c r="F96" s="40">
        <v>26</v>
      </c>
      <c r="G96" s="38">
        <v>1</v>
      </c>
      <c r="H96" s="26" t="s">
        <v>70</v>
      </c>
      <c r="I96" s="12"/>
      <c r="J96" s="12"/>
      <c r="K96" s="242"/>
      <c r="L96" s="245"/>
      <c r="M96" s="311" t="s">
        <v>715</v>
      </c>
      <c r="N96" s="31"/>
      <c r="O96" s="32"/>
      <c r="P96" s="32"/>
      <c r="Q96" s="33"/>
    </row>
    <row r="97" spans="1:17" ht="33.75" customHeight="1">
      <c r="A97" s="16">
        <v>97</v>
      </c>
      <c r="B97" s="310" t="b">
        <v>0</v>
      </c>
      <c r="C97" s="12" t="s">
        <v>50</v>
      </c>
      <c r="D97" s="163" t="s">
        <v>713</v>
      </c>
      <c r="E97" s="14" t="s">
        <v>714</v>
      </c>
      <c r="F97" s="40">
        <v>26</v>
      </c>
      <c r="G97" s="38">
        <v>1</v>
      </c>
      <c r="H97" s="26" t="s">
        <v>70</v>
      </c>
      <c r="I97" s="12"/>
      <c r="J97" s="12"/>
      <c r="K97" s="242"/>
      <c r="L97" s="245"/>
      <c r="M97" s="179"/>
      <c r="N97" s="31"/>
      <c r="O97" s="32"/>
      <c r="P97" s="32"/>
      <c r="Q97" s="33"/>
    </row>
    <row r="98" spans="1:17" ht="33.75" customHeight="1">
      <c r="A98" s="16">
        <v>98</v>
      </c>
      <c r="B98" s="310" t="b">
        <v>0</v>
      </c>
      <c r="C98" s="12"/>
      <c r="D98" s="198" t="s">
        <v>515</v>
      </c>
      <c r="E98" s="14" t="s">
        <v>520</v>
      </c>
      <c r="F98" s="40">
        <v>26</v>
      </c>
      <c r="G98" s="38">
        <v>1</v>
      </c>
      <c r="H98" s="26" t="s">
        <v>70</v>
      </c>
      <c r="I98" s="12"/>
      <c r="J98" s="12"/>
      <c r="K98" s="242"/>
      <c r="L98" s="245"/>
      <c r="M98" s="311" t="s">
        <v>716</v>
      </c>
      <c r="N98" s="31"/>
      <c r="O98" s="32"/>
      <c r="P98" s="32"/>
      <c r="Q98" s="33"/>
    </row>
    <row r="99" spans="1:17" ht="33.75" customHeight="1">
      <c r="A99" s="16">
        <v>96</v>
      </c>
      <c r="B99" s="310" t="b">
        <v>0</v>
      </c>
      <c r="C99" s="12" t="s">
        <v>48</v>
      </c>
      <c r="D99" s="163" t="s">
        <v>712</v>
      </c>
      <c r="E99" s="14" t="s">
        <v>174</v>
      </c>
      <c r="F99" s="40">
        <v>26</v>
      </c>
      <c r="G99" s="38">
        <v>1</v>
      </c>
      <c r="H99" s="26" t="s">
        <v>70</v>
      </c>
      <c r="I99" s="12"/>
      <c r="J99" s="12"/>
      <c r="K99" s="242"/>
      <c r="L99" s="245"/>
      <c r="M99" s="25"/>
      <c r="N99" s="31"/>
      <c r="O99" s="32"/>
      <c r="P99" s="32"/>
      <c r="Q99" s="33"/>
    </row>
    <row r="100" spans="1:17" ht="33.75" customHeight="1">
      <c r="A100" s="16">
        <v>98</v>
      </c>
      <c r="B100" s="310" t="b">
        <v>0</v>
      </c>
      <c r="C100" s="12"/>
      <c r="D100" s="198" t="s">
        <v>515</v>
      </c>
      <c r="E100" s="14" t="s">
        <v>520</v>
      </c>
      <c r="F100" s="40">
        <v>26</v>
      </c>
      <c r="G100" s="38">
        <v>1</v>
      </c>
      <c r="H100" s="26" t="s">
        <v>70</v>
      </c>
      <c r="I100" s="12"/>
      <c r="J100" s="12"/>
      <c r="K100" s="242"/>
      <c r="L100" s="245"/>
      <c r="M100" s="311" t="s">
        <v>717</v>
      </c>
      <c r="N100" s="31"/>
      <c r="O100" s="32"/>
      <c r="P100" s="32"/>
      <c r="Q100" s="33"/>
    </row>
    <row r="101" spans="1:17" ht="33.75" customHeight="1">
      <c r="A101" s="16">
        <v>104</v>
      </c>
      <c r="B101" s="310" t="b">
        <v>0</v>
      </c>
      <c r="C101" s="220"/>
      <c r="D101" s="315" t="s">
        <v>358</v>
      </c>
      <c r="E101" s="222" t="s">
        <v>189</v>
      </c>
      <c r="F101" s="223">
        <v>26</v>
      </c>
      <c r="G101" s="224">
        <v>15</v>
      </c>
      <c r="H101" s="224" t="s">
        <v>71</v>
      </c>
      <c r="I101" s="220"/>
      <c r="J101" s="220"/>
      <c r="K101" s="242"/>
      <c r="L101" s="245"/>
      <c r="M101" s="225"/>
      <c r="N101" s="226" t="s">
        <v>66</v>
      </c>
      <c r="O101" s="227"/>
      <c r="P101" s="227"/>
      <c r="Q101" s="228"/>
    </row>
    <row r="102" spans="1:17" ht="33.75" customHeight="1">
      <c r="A102" s="16">
        <v>105</v>
      </c>
      <c r="B102" s="310" t="b">
        <v>0</v>
      </c>
      <c r="C102" s="220"/>
      <c r="D102" s="315" t="s">
        <v>359</v>
      </c>
      <c r="E102" s="222" t="s">
        <v>501</v>
      </c>
      <c r="F102" s="223">
        <v>26</v>
      </c>
      <c r="G102" s="224">
        <v>100</v>
      </c>
      <c r="H102" s="224" t="s">
        <v>72</v>
      </c>
      <c r="I102" s="220"/>
      <c r="J102" s="220"/>
      <c r="K102" s="242"/>
      <c r="L102" s="245"/>
      <c r="M102" s="225"/>
      <c r="N102" s="229"/>
      <c r="O102" s="227"/>
      <c r="P102" s="227"/>
      <c r="Q102" s="228"/>
    </row>
    <row r="103" spans="1:17" ht="33.75" customHeight="1">
      <c r="A103" s="16">
        <v>106</v>
      </c>
      <c r="B103" s="310" t="b">
        <v>0</v>
      </c>
      <c r="C103" s="220"/>
      <c r="D103" s="315" t="s">
        <v>360</v>
      </c>
      <c r="E103" s="222" t="s">
        <v>502</v>
      </c>
      <c r="F103" s="223">
        <v>26</v>
      </c>
      <c r="G103" s="224">
        <v>100</v>
      </c>
      <c r="H103" s="224" t="s">
        <v>72</v>
      </c>
      <c r="I103" s="220"/>
      <c r="J103" s="220"/>
      <c r="K103" s="242"/>
      <c r="L103" s="245"/>
      <c r="M103" s="225"/>
      <c r="N103" s="229"/>
      <c r="O103" s="227"/>
      <c r="P103" s="227"/>
      <c r="Q103" s="228"/>
    </row>
    <row r="104" spans="1:17" ht="33.75" customHeight="1">
      <c r="A104" s="16">
        <v>107</v>
      </c>
      <c r="B104" s="310" t="b">
        <v>0</v>
      </c>
      <c r="C104" s="220"/>
      <c r="D104" s="315" t="s">
        <v>505</v>
      </c>
      <c r="E104" s="222" t="s">
        <v>190</v>
      </c>
      <c r="F104" s="223">
        <v>26</v>
      </c>
      <c r="G104" s="224">
        <v>3</v>
      </c>
      <c r="H104" s="224" t="s">
        <v>72</v>
      </c>
      <c r="I104" s="220"/>
      <c r="J104" s="220"/>
      <c r="K104" s="242"/>
      <c r="L104" s="245"/>
      <c r="M104" s="225"/>
      <c r="N104" s="229" t="s">
        <v>506</v>
      </c>
      <c r="O104" s="227"/>
      <c r="P104" s="227"/>
      <c r="Q104" s="228"/>
    </row>
    <row r="105" spans="1:17" ht="33.75" customHeight="1">
      <c r="A105" s="16">
        <v>108</v>
      </c>
      <c r="B105" s="310" t="b">
        <v>0</v>
      </c>
      <c r="C105" s="220"/>
      <c r="D105" s="315" t="s">
        <v>361</v>
      </c>
      <c r="E105" s="222" t="s">
        <v>192</v>
      </c>
      <c r="F105" s="223">
        <v>26</v>
      </c>
      <c r="G105" s="224">
        <v>3</v>
      </c>
      <c r="H105" s="224" t="s">
        <v>72</v>
      </c>
      <c r="I105" s="220"/>
      <c r="J105" s="220"/>
      <c r="K105" s="242"/>
      <c r="L105" s="245"/>
      <c r="M105" s="225"/>
      <c r="N105" s="229"/>
      <c r="O105" s="227"/>
      <c r="P105" s="227"/>
      <c r="Q105" s="228"/>
    </row>
    <row r="106" spans="1:17" ht="33.75" customHeight="1">
      <c r="A106" s="16">
        <v>115</v>
      </c>
      <c r="B106" s="310" t="b">
        <v>0</v>
      </c>
      <c r="C106" s="220" t="s">
        <v>419</v>
      </c>
      <c r="D106" s="314" t="s">
        <v>718</v>
      </c>
      <c r="E106" s="222" t="s">
        <v>229</v>
      </c>
      <c r="F106" s="224">
        <v>26</v>
      </c>
      <c r="G106" s="224">
        <v>1</v>
      </c>
      <c r="H106" s="224" t="s">
        <v>70</v>
      </c>
      <c r="I106" s="220"/>
      <c r="J106" s="220"/>
      <c r="K106" s="242"/>
      <c r="L106" s="245"/>
      <c r="M106" s="225"/>
      <c r="N106" s="229"/>
      <c r="O106" s="227"/>
      <c r="P106" s="227"/>
      <c r="Q106" s="228"/>
    </row>
    <row r="107" spans="1:17" ht="33.75" customHeight="1">
      <c r="A107" s="16"/>
      <c r="B107" s="310"/>
      <c r="C107" s="220"/>
      <c r="D107" s="314" t="s">
        <v>719</v>
      </c>
      <c r="E107" s="222" t="s">
        <v>720</v>
      </c>
      <c r="F107" s="224">
        <v>26</v>
      </c>
      <c r="G107" s="224">
        <v>2</v>
      </c>
      <c r="H107" s="224" t="s">
        <v>646</v>
      </c>
      <c r="I107" s="220"/>
      <c r="J107" s="220"/>
      <c r="K107" s="242"/>
      <c r="L107" s="245"/>
      <c r="M107" s="225"/>
      <c r="N107" s="229"/>
      <c r="O107" s="227"/>
      <c r="P107" s="227"/>
      <c r="Q107" s="228"/>
    </row>
    <row r="108" spans="1:17" ht="33.75" customHeight="1">
      <c r="A108" s="16"/>
      <c r="B108" s="310"/>
      <c r="C108" s="220"/>
      <c r="D108" s="314" t="s">
        <v>721</v>
      </c>
      <c r="E108" s="222" t="s">
        <v>722</v>
      </c>
      <c r="F108" s="224">
        <v>26</v>
      </c>
      <c r="G108" s="224">
        <v>4</v>
      </c>
      <c r="H108" s="224" t="s">
        <v>646</v>
      </c>
      <c r="I108" s="220"/>
      <c r="J108" s="220"/>
      <c r="K108" s="242"/>
      <c r="L108" s="245"/>
      <c r="M108" s="225"/>
      <c r="N108" s="229"/>
      <c r="O108" s="227"/>
      <c r="P108" s="227"/>
      <c r="Q108" s="228"/>
    </row>
    <row r="109" spans="1:17" ht="33.75" customHeight="1">
      <c r="A109" s="16"/>
      <c r="B109" s="310"/>
      <c r="C109" s="220"/>
      <c r="D109" s="314" t="s">
        <v>723</v>
      </c>
      <c r="E109" s="222" t="s">
        <v>724</v>
      </c>
      <c r="F109" s="224">
        <v>26</v>
      </c>
      <c r="G109" s="224">
        <v>2</v>
      </c>
      <c r="H109" s="224" t="s">
        <v>646</v>
      </c>
      <c r="I109" s="220"/>
      <c r="J109" s="220"/>
      <c r="K109" s="242"/>
      <c r="L109" s="245"/>
      <c r="M109" s="225"/>
      <c r="N109" s="229"/>
      <c r="O109" s="227"/>
      <c r="P109" s="227"/>
      <c r="Q109" s="228"/>
    </row>
    <row r="110" spans="1:17" ht="33.75" customHeight="1">
      <c r="A110" s="16"/>
      <c r="B110" s="310"/>
      <c r="C110" s="220"/>
      <c r="D110" s="314" t="s">
        <v>725</v>
      </c>
      <c r="E110" s="222" t="s">
        <v>726</v>
      </c>
      <c r="F110" s="224">
        <v>26</v>
      </c>
      <c r="G110" s="224">
        <v>1</v>
      </c>
      <c r="H110" s="224" t="s">
        <v>646</v>
      </c>
      <c r="I110" s="220"/>
      <c r="J110" s="220"/>
      <c r="K110" s="242"/>
      <c r="L110" s="245"/>
      <c r="M110" s="225"/>
      <c r="N110" s="229"/>
      <c r="O110" s="227"/>
      <c r="P110" s="227"/>
      <c r="Q110" s="228"/>
    </row>
    <row r="111" spans="1:17" ht="33.75" customHeight="1">
      <c r="A111" s="16"/>
      <c r="B111" s="310"/>
      <c r="C111" s="220"/>
      <c r="D111" s="314" t="s">
        <v>727</v>
      </c>
      <c r="E111" s="222" t="s">
        <v>728</v>
      </c>
      <c r="F111" s="224">
        <v>26</v>
      </c>
      <c r="G111" s="224">
        <v>2</v>
      </c>
      <c r="H111" s="224" t="s">
        <v>646</v>
      </c>
      <c r="I111" s="220"/>
      <c r="J111" s="220"/>
      <c r="K111" s="242"/>
      <c r="L111" s="245"/>
      <c r="M111" s="225"/>
      <c r="N111" s="229"/>
      <c r="O111" s="227"/>
      <c r="P111" s="227"/>
      <c r="Q111" s="228"/>
    </row>
    <row r="112" spans="1:17" ht="33.75" customHeight="1">
      <c r="A112" s="16"/>
      <c r="B112" s="310"/>
      <c r="C112" s="220"/>
      <c r="D112" s="314" t="s">
        <v>729</v>
      </c>
      <c r="E112" s="222" t="s">
        <v>730</v>
      </c>
      <c r="F112" s="224">
        <v>26</v>
      </c>
      <c r="G112" s="224">
        <v>1</v>
      </c>
      <c r="H112" s="224" t="s">
        <v>646</v>
      </c>
      <c r="I112" s="220"/>
      <c r="J112" s="220"/>
      <c r="K112" s="242"/>
      <c r="L112" s="245"/>
      <c r="M112" s="225"/>
      <c r="N112" s="229"/>
      <c r="O112" s="227"/>
      <c r="P112" s="227"/>
      <c r="Q112" s="228"/>
    </row>
    <row r="113" spans="1:17" ht="33.75" customHeight="1">
      <c r="A113" s="16"/>
      <c r="B113" s="310"/>
      <c r="C113" s="220"/>
      <c r="D113" s="314" t="s">
        <v>731</v>
      </c>
      <c r="E113" s="222" t="s">
        <v>732</v>
      </c>
      <c r="F113" s="224">
        <v>26</v>
      </c>
      <c r="G113" s="224">
        <v>1</v>
      </c>
      <c r="H113" s="224" t="s">
        <v>646</v>
      </c>
      <c r="I113" s="220"/>
      <c r="J113" s="220"/>
      <c r="K113" s="242"/>
      <c r="L113" s="245"/>
      <c r="M113" s="225"/>
      <c r="N113" s="229"/>
      <c r="O113" s="227"/>
      <c r="P113" s="227"/>
      <c r="Q113" s="228"/>
    </row>
    <row r="114" spans="1:17" ht="33.75" customHeight="1">
      <c r="A114" s="16"/>
      <c r="B114" s="310"/>
      <c r="C114" s="220"/>
      <c r="D114" s="314" t="s">
        <v>733</v>
      </c>
      <c r="E114" s="222" t="s">
        <v>734</v>
      </c>
      <c r="F114" s="224">
        <v>26</v>
      </c>
      <c r="G114" s="224">
        <v>1</v>
      </c>
      <c r="H114" s="224" t="s">
        <v>646</v>
      </c>
      <c r="I114" s="220"/>
      <c r="J114" s="220"/>
      <c r="K114" s="242"/>
      <c r="L114" s="245"/>
      <c r="M114" s="225"/>
      <c r="N114" s="229"/>
      <c r="O114" s="227"/>
      <c r="P114" s="227"/>
      <c r="Q114" s="228"/>
    </row>
    <row r="115" spans="1:17" ht="33.75" customHeight="1">
      <c r="A115" s="16">
        <v>116</v>
      </c>
      <c r="B115" s="310" t="b">
        <v>0</v>
      </c>
      <c r="C115" s="220" t="s">
        <v>419</v>
      </c>
      <c r="D115" s="314" t="s">
        <v>735</v>
      </c>
      <c r="E115" s="222" t="s">
        <v>737</v>
      </c>
      <c r="F115" s="224">
        <v>26</v>
      </c>
      <c r="G115" s="224">
        <v>1</v>
      </c>
      <c r="H115" s="224" t="s">
        <v>72</v>
      </c>
      <c r="I115" s="220"/>
      <c r="J115" s="220"/>
      <c r="K115" s="242"/>
      <c r="L115" s="245"/>
      <c r="M115" s="225"/>
      <c r="N115" s="231" t="s">
        <v>736</v>
      </c>
      <c r="O115" s="227"/>
      <c r="P115" s="227"/>
      <c r="Q115" s="228"/>
    </row>
    <row r="116" spans="1:17" ht="33.75" customHeight="1">
      <c r="A116" s="16">
        <v>122</v>
      </c>
      <c r="B116" s="310" t="b">
        <v>0</v>
      </c>
      <c r="C116" s="232"/>
      <c r="D116" s="319" t="s">
        <v>529</v>
      </c>
      <c r="E116" s="234" t="s">
        <v>530</v>
      </c>
      <c r="F116" s="235">
        <v>26</v>
      </c>
      <c r="G116" s="235">
        <v>8</v>
      </c>
      <c r="H116" s="235" t="s">
        <v>70</v>
      </c>
      <c r="I116" s="232"/>
      <c r="J116" s="232"/>
      <c r="K116" s="242"/>
      <c r="L116" s="245"/>
      <c r="M116" s="236"/>
      <c r="N116" s="237"/>
      <c r="O116" s="238"/>
      <c r="P116" s="238"/>
      <c r="Q116" s="239"/>
    </row>
    <row r="117" spans="1:17" ht="33.75" customHeight="1">
      <c r="A117" s="16">
        <v>125</v>
      </c>
      <c r="B117" s="310" t="b">
        <v>0</v>
      </c>
      <c r="C117" s="12"/>
      <c r="D117" s="163" t="s">
        <v>738</v>
      </c>
      <c r="E117" s="14" t="s">
        <v>242</v>
      </c>
      <c r="F117" s="26">
        <v>26</v>
      </c>
      <c r="G117" s="38">
        <v>1</v>
      </c>
      <c r="H117" s="26" t="s">
        <v>70</v>
      </c>
      <c r="I117" s="12"/>
      <c r="J117" s="12"/>
      <c r="K117" s="242"/>
      <c r="L117" s="245"/>
      <c r="M117" s="25"/>
      <c r="N117" s="31" t="s">
        <v>740</v>
      </c>
      <c r="O117" s="32"/>
      <c r="P117" s="32"/>
      <c r="Q117" s="33"/>
    </row>
    <row r="118" spans="1:17" ht="33.75" customHeight="1">
      <c r="A118" s="16">
        <v>126</v>
      </c>
      <c r="B118" s="310" t="b">
        <v>0</v>
      </c>
      <c r="C118" s="12"/>
      <c r="D118" s="163" t="s">
        <v>739</v>
      </c>
      <c r="E118" s="14" t="s">
        <v>242</v>
      </c>
      <c r="F118" s="26">
        <v>26</v>
      </c>
      <c r="G118" s="38">
        <v>2</v>
      </c>
      <c r="H118" s="26" t="s">
        <v>70</v>
      </c>
      <c r="I118" s="12"/>
      <c r="J118" s="12"/>
      <c r="K118" s="242"/>
      <c r="L118" s="245"/>
      <c r="M118" s="25"/>
      <c r="N118" s="31" t="s">
        <v>741</v>
      </c>
      <c r="O118" s="32"/>
      <c r="P118" s="32"/>
      <c r="Q118" s="33"/>
    </row>
    <row r="119" spans="1:17" ht="33.75" customHeight="1">
      <c r="A119" s="16">
        <v>147</v>
      </c>
      <c r="B119" s="310" t="b">
        <v>0</v>
      </c>
      <c r="C119" s="12" t="s">
        <v>488</v>
      </c>
      <c r="D119" s="163" t="s">
        <v>742</v>
      </c>
      <c r="E119" s="14" t="s">
        <v>186</v>
      </c>
      <c r="F119" s="26">
        <v>26</v>
      </c>
      <c r="G119" s="38">
        <v>2</v>
      </c>
      <c r="H119" s="26" t="s">
        <v>70</v>
      </c>
      <c r="I119" s="12"/>
      <c r="J119" s="12"/>
      <c r="K119" s="242"/>
      <c r="L119" s="245"/>
      <c r="M119" s="25"/>
      <c r="N119" s="31" t="s">
        <v>743</v>
      </c>
      <c r="O119" s="32"/>
      <c r="P119" s="32"/>
      <c r="Q119" s="33"/>
    </row>
    <row r="120" spans="1:17" ht="33.75" customHeight="1">
      <c r="A120" s="16">
        <v>148</v>
      </c>
      <c r="B120" s="310" t="b">
        <v>0</v>
      </c>
      <c r="C120" s="12" t="s">
        <v>744</v>
      </c>
      <c r="D120" s="198" t="s">
        <v>515</v>
      </c>
      <c r="E120" s="14" t="s">
        <v>186</v>
      </c>
      <c r="F120" s="26">
        <v>26</v>
      </c>
      <c r="G120" s="38">
        <v>1</v>
      </c>
      <c r="H120" s="26" t="s">
        <v>70</v>
      </c>
      <c r="I120" s="12"/>
      <c r="J120" s="12"/>
      <c r="K120" s="242"/>
      <c r="L120" s="245"/>
      <c r="M120" s="25"/>
      <c r="N120" s="28" t="s">
        <v>248</v>
      </c>
      <c r="O120" s="32"/>
      <c r="P120" s="32"/>
      <c r="Q120" s="33"/>
    </row>
    <row r="121" spans="1:17" ht="33.75" customHeight="1">
      <c r="A121" s="16">
        <v>150</v>
      </c>
      <c r="B121" s="310" t="b">
        <v>0</v>
      </c>
      <c r="C121" s="12" t="s">
        <v>56</v>
      </c>
      <c r="D121" s="163" t="s">
        <v>630</v>
      </c>
      <c r="E121" s="14" t="s">
        <v>334</v>
      </c>
      <c r="F121" s="26">
        <v>26</v>
      </c>
      <c r="G121" s="38">
        <v>1</v>
      </c>
      <c r="H121" s="26" t="s">
        <v>70</v>
      </c>
      <c r="I121" s="12"/>
      <c r="J121" s="12"/>
      <c r="K121" s="242"/>
      <c r="L121" s="245"/>
      <c r="M121" s="25"/>
      <c r="N121" s="31"/>
      <c r="O121" s="32"/>
      <c r="P121" s="32"/>
      <c r="Q121" s="33"/>
    </row>
    <row r="122" spans="1:17" ht="33.75" customHeight="1">
      <c r="A122" s="16">
        <v>149</v>
      </c>
      <c r="B122" s="310" t="b">
        <v>0</v>
      </c>
      <c r="C122" s="12" t="s">
        <v>55</v>
      </c>
      <c r="D122" s="198" t="s">
        <v>748</v>
      </c>
      <c r="E122" s="14" t="s">
        <v>187</v>
      </c>
      <c r="F122" s="26">
        <v>26</v>
      </c>
      <c r="G122" s="38">
        <v>1</v>
      </c>
      <c r="H122" s="26" t="s">
        <v>70</v>
      </c>
      <c r="I122" s="12"/>
      <c r="J122" s="12"/>
      <c r="K122" s="242"/>
      <c r="L122" s="245"/>
      <c r="M122" s="25"/>
      <c r="N122" s="31"/>
      <c r="O122" s="32"/>
      <c r="P122" s="32"/>
      <c r="Q122" s="33"/>
    </row>
    <row r="123" spans="1:17" ht="33.75" customHeight="1">
      <c r="A123" s="16">
        <v>186</v>
      </c>
      <c r="B123" s="310" t="b">
        <v>0</v>
      </c>
      <c r="C123" s="12"/>
      <c r="D123" s="163"/>
      <c r="E123" s="154" t="s">
        <v>313</v>
      </c>
      <c r="F123" s="40">
        <v>26</v>
      </c>
      <c r="G123" s="38">
        <v>2</v>
      </c>
      <c r="H123" s="26" t="s">
        <v>70</v>
      </c>
      <c r="I123" s="12"/>
      <c r="J123" s="12"/>
      <c r="K123" s="242"/>
      <c r="L123" s="245"/>
      <c r="M123" s="25"/>
      <c r="N123" s="31" t="s">
        <v>749</v>
      </c>
      <c r="O123" s="32"/>
      <c r="P123" s="32"/>
      <c r="Q123" s="33"/>
    </row>
    <row r="124" spans="1:17" ht="33.75" customHeight="1">
      <c r="A124" s="16">
        <v>233</v>
      </c>
      <c r="B124" s="310" t="b">
        <v>0</v>
      </c>
      <c r="C124" s="12"/>
      <c r="D124" s="163" t="s">
        <v>693</v>
      </c>
      <c r="E124" s="14" t="s">
        <v>237</v>
      </c>
      <c r="F124" s="26">
        <v>26</v>
      </c>
      <c r="G124" s="38">
        <v>3</v>
      </c>
      <c r="H124" s="26" t="s">
        <v>70</v>
      </c>
      <c r="I124" s="12"/>
      <c r="J124" s="12"/>
      <c r="K124" s="242"/>
      <c r="L124" s="245"/>
      <c r="M124" s="25"/>
      <c r="N124" s="31" t="s">
        <v>775</v>
      </c>
      <c r="O124" s="32"/>
      <c r="P124" s="32"/>
      <c r="Q124" s="33"/>
    </row>
    <row r="125" spans="1:17" ht="33.75" customHeight="1">
      <c r="A125" s="16">
        <v>334</v>
      </c>
      <c r="B125" s="310" t="b">
        <v>0</v>
      </c>
      <c r="C125" s="12"/>
      <c r="D125" s="163" t="s">
        <v>770</v>
      </c>
      <c r="E125" s="14" t="s">
        <v>769</v>
      </c>
      <c r="F125" s="26">
        <v>26</v>
      </c>
      <c r="G125" s="38">
        <v>3</v>
      </c>
      <c r="H125" s="26" t="s">
        <v>70</v>
      </c>
      <c r="I125" s="12"/>
      <c r="J125" s="12"/>
      <c r="K125" s="242"/>
      <c r="L125" s="245"/>
      <c r="M125" s="25"/>
      <c r="N125" s="31" t="s">
        <v>757</v>
      </c>
      <c r="O125" s="32"/>
      <c r="P125" s="32"/>
      <c r="Q125" s="33"/>
    </row>
    <row r="126" spans="1:17" ht="33.75" customHeight="1">
      <c r="A126" s="16">
        <v>334</v>
      </c>
      <c r="B126" s="310" t="b">
        <v>0</v>
      </c>
      <c r="C126" s="12"/>
      <c r="D126" s="163" t="s">
        <v>771</v>
      </c>
      <c r="E126" s="14" t="s">
        <v>769</v>
      </c>
      <c r="F126" s="26">
        <v>26</v>
      </c>
      <c r="G126" s="38">
        <v>1</v>
      </c>
      <c r="H126" s="26" t="s">
        <v>70</v>
      </c>
      <c r="I126" s="12"/>
      <c r="J126" s="12"/>
      <c r="K126" s="242"/>
      <c r="L126" s="245"/>
      <c r="M126" s="25"/>
      <c r="N126" s="31" t="s">
        <v>763</v>
      </c>
      <c r="O126" s="32"/>
      <c r="P126" s="32"/>
      <c r="Q126" s="33"/>
    </row>
    <row r="127" spans="1:17" ht="33.75" customHeight="1">
      <c r="A127" s="16">
        <v>334</v>
      </c>
      <c r="B127" s="310" t="b">
        <v>0</v>
      </c>
      <c r="C127" s="12"/>
      <c r="D127" s="163" t="s">
        <v>772</v>
      </c>
      <c r="E127" s="14" t="s">
        <v>769</v>
      </c>
      <c r="F127" s="26">
        <v>26</v>
      </c>
      <c r="G127" s="38">
        <v>3</v>
      </c>
      <c r="H127" s="26" t="s">
        <v>70</v>
      </c>
      <c r="I127" s="12"/>
      <c r="J127" s="12"/>
      <c r="K127" s="242"/>
      <c r="L127" s="245"/>
      <c r="M127" s="25"/>
      <c r="N127" s="31" t="s">
        <v>762</v>
      </c>
      <c r="O127" s="32"/>
      <c r="P127" s="32"/>
      <c r="Q127" s="33"/>
    </row>
    <row r="128" spans="1:17" ht="33.75" customHeight="1">
      <c r="A128" s="16">
        <v>334</v>
      </c>
      <c r="B128" s="310" t="b">
        <v>0</v>
      </c>
      <c r="C128" s="12"/>
      <c r="D128" s="163" t="s">
        <v>773</v>
      </c>
      <c r="E128" s="14" t="s">
        <v>769</v>
      </c>
      <c r="F128" s="26">
        <v>26</v>
      </c>
      <c r="G128" s="38">
        <v>1</v>
      </c>
      <c r="H128" s="26" t="s">
        <v>70</v>
      </c>
      <c r="I128" s="12"/>
      <c r="J128" s="12"/>
      <c r="K128" s="242"/>
      <c r="L128" s="245"/>
      <c r="M128" s="25"/>
      <c r="N128" s="31" t="s">
        <v>767</v>
      </c>
      <c r="O128" s="32"/>
      <c r="P128" s="32"/>
      <c r="Q128" s="33"/>
    </row>
    <row r="129" spans="1:17" ht="33.75" customHeight="1">
      <c r="A129" s="16">
        <v>334</v>
      </c>
      <c r="B129" s="310" t="b">
        <v>0</v>
      </c>
      <c r="C129" s="12"/>
      <c r="D129" s="163" t="s">
        <v>774</v>
      </c>
      <c r="E129" s="14" t="s">
        <v>769</v>
      </c>
      <c r="F129" s="26">
        <v>26</v>
      </c>
      <c r="G129" s="38">
        <v>4</v>
      </c>
      <c r="H129" s="26" t="s">
        <v>70</v>
      </c>
      <c r="I129" s="12"/>
      <c r="J129" s="12"/>
      <c r="K129" s="242"/>
      <c r="L129" s="245"/>
      <c r="M129" s="25"/>
      <c r="N129" s="31" t="s">
        <v>768</v>
      </c>
      <c r="O129" s="32"/>
      <c r="P129" s="32"/>
      <c r="Q129" s="33"/>
    </row>
    <row r="130" spans="1:17" ht="33.75" customHeight="1">
      <c r="A130" s="16">
        <v>46</v>
      </c>
      <c r="B130" s="310" t="b">
        <v>0</v>
      </c>
      <c r="C130" s="12" t="s">
        <v>39</v>
      </c>
      <c r="D130" s="163" t="s">
        <v>755</v>
      </c>
      <c r="E130" s="14" t="s">
        <v>222</v>
      </c>
      <c r="F130" s="26">
        <v>28</v>
      </c>
      <c r="G130" s="38">
        <v>1</v>
      </c>
      <c r="H130" s="26" t="s">
        <v>70</v>
      </c>
      <c r="I130" s="12"/>
      <c r="J130" s="12"/>
      <c r="K130" s="242"/>
      <c r="L130" s="245"/>
      <c r="M130" s="25"/>
      <c r="N130" s="31" t="s">
        <v>757</v>
      </c>
      <c r="O130" s="29"/>
      <c r="P130" s="29"/>
      <c r="Q130" s="30"/>
    </row>
    <row r="131" spans="1:17" ht="33.75" customHeight="1">
      <c r="A131" s="16">
        <v>47</v>
      </c>
      <c r="B131" s="310" t="b">
        <v>0</v>
      </c>
      <c r="C131" s="12" t="s">
        <v>39</v>
      </c>
      <c r="D131" s="163" t="s">
        <v>756</v>
      </c>
      <c r="E131" s="14" t="s">
        <v>221</v>
      </c>
      <c r="F131" s="26">
        <v>28</v>
      </c>
      <c r="G131" s="38">
        <v>1</v>
      </c>
      <c r="H131" s="26" t="s">
        <v>70</v>
      </c>
      <c r="I131" s="12"/>
      <c r="J131" s="12"/>
      <c r="K131" s="242"/>
      <c r="L131" s="245"/>
      <c r="M131" s="25"/>
      <c r="N131" s="28" t="s">
        <v>62</v>
      </c>
      <c r="O131" s="29"/>
      <c r="P131" s="29"/>
      <c r="Q131" s="30"/>
    </row>
    <row r="132" spans="1:17" ht="33.75" customHeight="1">
      <c r="A132" s="16">
        <v>46</v>
      </c>
      <c r="B132" s="310" t="b">
        <v>0</v>
      </c>
      <c r="C132" s="12" t="s">
        <v>39</v>
      </c>
      <c r="D132" s="163" t="s">
        <v>755</v>
      </c>
      <c r="E132" s="14" t="s">
        <v>222</v>
      </c>
      <c r="F132" s="26">
        <v>29</v>
      </c>
      <c r="G132" s="38">
        <v>1</v>
      </c>
      <c r="H132" s="26" t="s">
        <v>70</v>
      </c>
      <c r="I132" s="12"/>
      <c r="J132" s="12"/>
      <c r="K132" s="242"/>
      <c r="L132" s="245"/>
      <c r="M132" s="25"/>
      <c r="N132" s="31" t="s">
        <v>757</v>
      </c>
      <c r="O132" s="29"/>
      <c r="P132" s="29"/>
      <c r="Q132" s="30"/>
    </row>
    <row r="133" spans="1:17" ht="33.75" customHeight="1">
      <c r="A133" s="16">
        <v>47</v>
      </c>
      <c r="B133" s="310" t="b">
        <v>0</v>
      </c>
      <c r="C133" s="12" t="s">
        <v>39</v>
      </c>
      <c r="D133" s="163" t="s">
        <v>756</v>
      </c>
      <c r="E133" s="14" t="s">
        <v>221</v>
      </c>
      <c r="F133" s="26">
        <v>29</v>
      </c>
      <c r="G133" s="38">
        <v>1</v>
      </c>
      <c r="H133" s="26" t="s">
        <v>70</v>
      </c>
      <c r="I133" s="12"/>
      <c r="J133" s="12"/>
      <c r="K133" s="242"/>
      <c r="L133" s="245"/>
      <c r="M133" s="25"/>
      <c r="N133" s="28" t="s">
        <v>62</v>
      </c>
      <c r="O133" s="29"/>
      <c r="P133" s="29"/>
      <c r="Q133" s="30"/>
    </row>
    <row r="134" spans="1:17" ht="33.75" customHeight="1">
      <c r="A134" s="16">
        <v>46</v>
      </c>
      <c r="B134" s="310" t="b">
        <v>0</v>
      </c>
      <c r="C134" s="12" t="s">
        <v>39</v>
      </c>
      <c r="D134" s="163" t="s">
        <v>755</v>
      </c>
      <c r="E134" s="14" t="s">
        <v>222</v>
      </c>
      <c r="F134" s="26">
        <v>30</v>
      </c>
      <c r="G134" s="38">
        <v>1</v>
      </c>
      <c r="H134" s="26" t="s">
        <v>70</v>
      </c>
      <c r="I134" s="12"/>
      <c r="J134" s="12"/>
      <c r="K134" s="242"/>
      <c r="L134" s="245"/>
      <c r="M134" s="25"/>
      <c r="N134" s="31" t="s">
        <v>757</v>
      </c>
      <c r="O134" s="29"/>
      <c r="P134" s="29"/>
      <c r="Q134" s="30"/>
    </row>
    <row r="135" spans="1:17" ht="33.75" customHeight="1">
      <c r="A135" s="16">
        <v>47</v>
      </c>
      <c r="B135" s="310" t="b">
        <v>0</v>
      </c>
      <c r="C135" s="12" t="s">
        <v>39</v>
      </c>
      <c r="D135" s="163" t="s">
        <v>756</v>
      </c>
      <c r="E135" s="14" t="s">
        <v>221</v>
      </c>
      <c r="F135" s="26">
        <v>30</v>
      </c>
      <c r="G135" s="38">
        <v>1</v>
      </c>
      <c r="H135" s="26" t="s">
        <v>70</v>
      </c>
      <c r="I135" s="12"/>
      <c r="J135" s="12"/>
      <c r="K135" s="242"/>
      <c r="L135" s="245"/>
      <c r="M135" s="25"/>
      <c r="N135" s="28" t="s">
        <v>62</v>
      </c>
      <c r="O135" s="29"/>
      <c r="P135" s="29"/>
      <c r="Q135" s="30"/>
    </row>
    <row r="136" spans="1:17" ht="33.75" customHeight="1">
      <c r="A136" s="16">
        <v>48</v>
      </c>
      <c r="B136" s="310" t="b">
        <v>0</v>
      </c>
      <c r="C136" s="12" t="s">
        <v>52</v>
      </c>
      <c r="D136" s="163" t="s">
        <v>758</v>
      </c>
      <c r="E136" s="14" t="s">
        <v>436</v>
      </c>
      <c r="F136" s="26">
        <v>31</v>
      </c>
      <c r="G136" s="38">
        <v>1</v>
      </c>
      <c r="H136" s="26" t="s">
        <v>70</v>
      </c>
      <c r="I136" s="12"/>
      <c r="J136" s="12"/>
      <c r="K136" s="242"/>
      <c r="L136" s="245"/>
      <c r="M136" s="25"/>
      <c r="N136" s="31" t="s">
        <v>763</v>
      </c>
      <c r="O136" s="29"/>
      <c r="P136" s="29"/>
      <c r="Q136" s="30"/>
    </row>
    <row r="137" spans="1:17" ht="33.75" customHeight="1">
      <c r="A137" s="16">
        <v>49</v>
      </c>
      <c r="B137" s="310" t="b">
        <v>0</v>
      </c>
      <c r="C137" s="12" t="s">
        <v>52</v>
      </c>
      <c r="D137" s="163" t="s">
        <v>759</v>
      </c>
      <c r="E137" s="14" t="s">
        <v>350</v>
      </c>
      <c r="F137" s="26">
        <v>31</v>
      </c>
      <c r="G137" s="38">
        <v>1</v>
      </c>
      <c r="H137" s="26" t="s">
        <v>70</v>
      </c>
      <c r="I137" s="12"/>
      <c r="J137" s="12"/>
      <c r="K137" s="242"/>
      <c r="L137" s="245"/>
      <c r="M137" s="25"/>
      <c r="N137" s="28"/>
      <c r="O137" s="29"/>
      <c r="P137" s="29"/>
      <c r="Q137" s="30"/>
    </row>
    <row r="138" spans="1:17" ht="33.75" customHeight="1">
      <c r="A138" s="16">
        <v>50</v>
      </c>
      <c r="B138" s="310" t="b">
        <v>0</v>
      </c>
      <c r="C138" s="12" t="s">
        <v>421</v>
      </c>
      <c r="D138" s="163" t="s">
        <v>760</v>
      </c>
      <c r="E138" s="14" t="s">
        <v>223</v>
      </c>
      <c r="F138" s="26">
        <v>32</v>
      </c>
      <c r="G138" s="38">
        <v>1</v>
      </c>
      <c r="H138" s="26" t="s">
        <v>70</v>
      </c>
      <c r="I138" s="12"/>
      <c r="J138" s="12"/>
      <c r="K138" s="242"/>
      <c r="L138" s="245"/>
      <c r="M138" s="25"/>
      <c r="N138" s="31" t="s">
        <v>762</v>
      </c>
      <c r="O138" s="29"/>
      <c r="P138" s="29"/>
      <c r="Q138" s="30"/>
    </row>
    <row r="139" spans="1:17" ht="33.75" customHeight="1">
      <c r="A139" s="16">
        <v>51</v>
      </c>
      <c r="B139" s="310" t="b">
        <v>0</v>
      </c>
      <c r="C139" s="12" t="s">
        <v>421</v>
      </c>
      <c r="D139" s="163" t="s">
        <v>761</v>
      </c>
      <c r="E139" s="14" t="s">
        <v>224</v>
      </c>
      <c r="F139" s="26">
        <v>32</v>
      </c>
      <c r="G139" s="38">
        <v>1</v>
      </c>
      <c r="H139" s="26" t="s">
        <v>70</v>
      </c>
      <c r="I139" s="12"/>
      <c r="J139" s="12"/>
      <c r="K139" s="242"/>
      <c r="L139" s="245"/>
      <c r="M139" s="25"/>
      <c r="N139" s="28"/>
      <c r="O139" s="29"/>
      <c r="P139" s="29"/>
      <c r="Q139" s="30"/>
    </row>
    <row r="140" spans="1:17" ht="33.75" customHeight="1">
      <c r="A140" s="16">
        <v>50</v>
      </c>
      <c r="B140" s="310" t="b">
        <v>0</v>
      </c>
      <c r="C140" s="12" t="s">
        <v>421</v>
      </c>
      <c r="D140" s="163" t="s">
        <v>760</v>
      </c>
      <c r="E140" s="14" t="s">
        <v>223</v>
      </c>
      <c r="F140" s="26">
        <v>33</v>
      </c>
      <c r="G140" s="38">
        <v>1</v>
      </c>
      <c r="H140" s="26" t="s">
        <v>70</v>
      </c>
      <c r="I140" s="12"/>
      <c r="J140" s="12"/>
      <c r="K140" s="242"/>
      <c r="L140" s="245"/>
      <c r="M140" s="25"/>
      <c r="N140" s="31" t="s">
        <v>762</v>
      </c>
      <c r="O140" s="29"/>
      <c r="P140" s="29"/>
      <c r="Q140" s="30"/>
    </row>
    <row r="141" spans="1:17" ht="33.75" customHeight="1">
      <c r="A141" s="16">
        <v>51</v>
      </c>
      <c r="B141" s="310" t="b">
        <v>0</v>
      </c>
      <c r="C141" s="12" t="s">
        <v>421</v>
      </c>
      <c r="D141" s="163" t="s">
        <v>761</v>
      </c>
      <c r="E141" s="14" t="s">
        <v>224</v>
      </c>
      <c r="F141" s="26">
        <v>33</v>
      </c>
      <c r="G141" s="38">
        <v>1</v>
      </c>
      <c r="H141" s="26" t="s">
        <v>70</v>
      </c>
      <c r="I141" s="12"/>
      <c r="J141" s="12"/>
      <c r="K141" s="242"/>
      <c r="L141" s="245"/>
      <c r="M141" s="25"/>
      <c r="N141" s="28"/>
      <c r="O141" s="29"/>
      <c r="P141" s="29"/>
      <c r="Q141" s="30"/>
    </row>
    <row r="142" spans="1:17" ht="33.75" customHeight="1">
      <c r="A142" s="16">
        <v>50</v>
      </c>
      <c r="B142" s="310" t="b">
        <v>0</v>
      </c>
      <c r="C142" s="12" t="s">
        <v>421</v>
      </c>
      <c r="D142" s="163" t="s">
        <v>760</v>
      </c>
      <c r="E142" s="14" t="s">
        <v>223</v>
      </c>
      <c r="F142" s="26">
        <v>34</v>
      </c>
      <c r="G142" s="38">
        <v>1</v>
      </c>
      <c r="H142" s="26" t="s">
        <v>70</v>
      </c>
      <c r="I142" s="12"/>
      <c r="J142" s="12"/>
      <c r="K142" s="242"/>
      <c r="L142" s="245"/>
      <c r="M142" s="25"/>
      <c r="N142" s="31" t="s">
        <v>762</v>
      </c>
      <c r="O142" s="29"/>
      <c r="P142" s="29"/>
      <c r="Q142" s="30"/>
    </row>
    <row r="143" spans="1:17" ht="33.75" customHeight="1">
      <c r="A143" s="16">
        <v>51</v>
      </c>
      <c r="B143" s="310" t="b">
        <v>0</v>
      </c>
      <c r="C143" s="12" t="s">
        <v>421</v>
      </c>
      <c r="D143" s="163" t="s">
        <v>761</v>
      </c>
      <c r="E143" s="14" t="s">
        <v>224</v>
      </c>
      <c r="F143" s="26">
        <v>34</v>
      </c>
      <c r="G143" s="38">
        <v>1</v>
      </c>
      <c r="H143" s="26" t="s">
        <v>70</v>
      </c>
      <c r="I143" s="12"/>
      <c r="J143" s="12"/>
      <c r="K143" s="242"/>
      <c r="L143" s="245"/>
      <c r="M143" s="25"/>
      <c r="N143" s="28"/>
      <c r="O143" s="29"/>
      <c r="P143" s="29"/>
      <c r="Q143" s="30"/>
    </row>
    <row r="144" spans="1:17" ht="33.75" customHeight="1">
      <c r="A144" s="16">
        <v>48</v>
      </c>
      <c r="B144" s="310" t="b">
        <v>0</v>
      </c>
      <c r="C144" s="12" t="s">
        <v>52</v>
      </c>
      <c r="D144" s="163" t="s">
        <v>765</v>
      </c>
      <c r="E144" s="14" t="s">
        <v>764</v>
      </c>
      <c r="F144" s="26">
        <v>35</v>
      </c>
      <c r="G144" s="38">
        <v>1</v>
      </c>
      <c r="H144" s="26" t="s">
        <v>70</v>
      </c>
      <c r="I144" s="12"/>
      <c r="J144" s="12"/>
      <c r="K144" s="242"/>
      <c r="L144" s="245"/>
      <c r="M144" s="25"/>
      <c r="N144" s="31" t="s">
        <v>767</v>
      </c>
      <c r="O144" s="29"/>
      <c r="P144" s="29"/>
      <c r="Q144" s="30"/>
    </row>
    <row r="145" spans="1:17" ht="33.75" customHeight="1">
      <c r="A145" s="16">
        <v>49</v>
      </c>
      <c r="B145" s="310" t="b">
        <v>0</v>
      </c>
      <c r="C145" s="12" t="s">
        <v>52</v>
      </c>
      <c r="D145" s="163" t="s">
        <v>766</v>
      </c>
      <c r="E145" s="14" t="s">
        <v>350</v>
      </c>
      <c r="F145" s="26">
        <v>35</v>
      </c>
      <c r="G145" s="38">
        <v>1</v>
      </c>
      <c r="H145" s="26" t="s">
        <v>70</v>
      </c>
      <c r="I145" s="12"/>
      <c r="J145" s="12"/>
      <c r="K145" s="242"/>
      <c r="L145" s="245"/>
      <c r="M145" s="25"/>
      <c r="N145" s="28"/>
      <c r="O145" s="29"/>
      <c r="P145" s="29"/>
      <c r="Q145" s="30"/>
    </row>
    <row r="146" spans="1:17" ht="33.75" customHeight="1">
      <c r="A146" s="16">
        <v>52</v>
      </c>
      <c r="B146" s="310" t="b">
        <v>0</v>
      </c>
      <c r="C146" s="12"/>
      <c r="D146" s="163" t="s">
        <v>750</v>
      </c>
      <c r="E146" s="14" t="s">
        <v>220</v>
      </c>
      <c r="F146" s="26">
        <v>36</v>
      </c>
      <c r="G146" s="38">
        <v>1</v>
      </c>
      <c r="H146" s="26" t="s">
        <v>70</v>
      </c>
      <c r="I146" s="12"/>
      <c r="J146" s="12"/>
      <c r="K146" s="242"/>
      <c r="L146" s="245"/>
      <c r="M146" s="25"/>
      <c r="N146" s="31" t="s">
        <v>768</v>
      </c>
      <c r="O146" s="29"/>
      <c r="P146" s="29"/>
      <c r="Q146" s="30"/>
    </row>
    <row r="147" spans="1:17" ht="33.75" customHeight="1">
      <c r="A147" s="16">
        <v>53</v>
      </c>
      <c r="B147" s="310" t="b">
        <v>0</v>
      </c>
      <c r="C147" s="12"/>
      <c r="D147" s="18" t="s">
        <v>751</v>
      </c>
      <c r="E147" s="14" t="s">
        <v>221</v>
      </c>
      <c r="F147" s="26">
        <v>36</v>
      </c>
      <c r="G147" s="38">
        <v>1</v>
      </c>
      <c r="H147" s="26" t="s">
        <v>70</v>
      </c>
      <c r="I147" s="12"/>
      <c r="J147" s="12"/>
      <c r="K147" s="242"/>
      <c r="L147" s="245"/>
      <c r="M147" s="25"/>
      <c r="N147" s="28"/>
      <c r="O147" s="29"/>
      <c r="P147" s="29"/>
      <c r="Q147" s="30"/>
    </row>
    <row r="148" spans="1:17" ht="33.75" customHeight="1">
      <c r="A148" s="16">
        <v>52</v>
      </c>
      <c r="B148" s="310" t="b">
        <v>0</v>
      </c>
      <c r="C148" s="12"/>
      <c r="D148" s="18" t="s">
        <v>750</v>
      </c>
      <c r="E148" s="14" t="s">
        <v>220</v>
      </c>
      <c r="F148" s="26">
        <v>37</v>
      </c>
      <c r="G148" s="38">
        <v>1</v>
      </c>
      <c r="H148" s="26" t="s">
        <v>70</v>
      </c>
      <c r="I148" s="12"/>
      <c r="J148" s="12"/>
      <c r="K148" s="242"/>
      <c r="L148" s="245"/>
      <c r="M148" s="25"/>
      <c r="N148" s="31" t="s">
        <v>768</v>
      </c>
      <c r="O148" s="29"/>
      <c r="P148" s="29"/>
      <c r="Q148" s="30"/>
    </row>
    <row r="149" spans="1:17" ht="33.75" customHeight="1">
      <c r="A149" s="16">
        <v>53</v>
      </c>
      <c r="B149" s="310" t="b">
        <v>0</v>
      </c>
      <c r="C149" s="12"/>
      <c r="D149" s="163" t="s">
        <v>751</v>
      </c>
      <c r="E149" s="14" t="s">
        <v>221</v>
      </c>
      <c r="F149" s="26">
        <v>37</v>
      </c>
      <c r="G149" s="38">
        <v>1</v>
      </c>
      <c r="H149" s="26" t="s">
        <v>70</v>
      </c>
      <c r="I149" s="12"/>
      <c r="J149" s="12"/>
      <c r="K149" s="242"/>
      <c r="L149" s="245"/>
      <c r="M149" s="25"/>
      <c r="N149" s="28"/>
      <c r="O149" s="29"/>
      <c r="P149" s="29"/>
      <c r="Q149" s="30"/>
    </row>
    <row r="150" spans="1:17" ht="33.75" customHeight="1">
      <c r="A150" s="16">
        <v>52</v>
      </c>
      <c r="B150" s="310" t="b">
        <v>0</v>
      </c>
      <c r="C150" s="12"/>
      <c r="D150" s="18" t="s">
        <v>750</v>
      </c>
      <c r="E150" s="14" t="s">
        <v>220</v>
      </c>
      <c r="F150" s="26">
        <v>38</v>
      </c>
      <c r="G150" s="38">
        <v>1</v>
      </c>
      <c r="H150" s="26" t="s">
        <v>70</v>
      </c>
      <c r="I150" s="12"/>
      <c r="J150" s="12"/>
      <c r="K150" s="242"/>
      <c r="L150" s="245"/>
      <c r="M150" s="25"/>
      <c r="N150" s="31" t="s">
        <v>768</v>
      </c>
      <c r="O150" s="29"/>
      <c r="P150" s="29"/>
      <c r="Q150" s="30"/>
    </row>
    <row r="151" spans="1:17" ht="33.75" customHeight="1">
      <c r="A151" s="16">
        <v>53</v>
      </c>
      <c r="B151" s="310" t="b">
        <v>0</v>
      </c>
      <c r="C151" s="12"/>
      <c r="D151" s="163" t="s">
        <v>751</v>
      </c>
      <c r="E151" s="14" t="s">
        <v>221</v>
      </c>
      <c r="F151" s="26">
        <v>38</v>
      </c>
      <c r="G151" s="38">
        <v>1</v>
      </c>
      <c r="H151" s="26" t="s">
        <v>70</v>
      </c>
      <c r="I151" s="12"/>
      <c r="J151" s="12"/>
      <c r="K151" s="242"/>
      <c r="L151" s="245"/>
      <c r="M151" s="25"/>
      <c r="N151" s="28"/>
      <c r="O151" s="29"/>
      <c r="P151" s="29"/>
      <c r="Q151" s="30"/>
    </row>
    <row r="152" spans="1:17" ht="33.75" customHeight="1">
      <c r="A152" s="16">
        <v>52</v>
      </c>
      <c r="B152" s="310" t="b">
        <v>0</v>
      </c>
      <c r="C152" s="12"/>
      <c r="D152" s="18" t="s">
        <v>750</v>
      </c>
      <c r="E152" s="14" t="s">
        <v>220</v>
      </c>
      <c r="F152" s="26">
        <v>39</v>
      </c>
      <c r="G152" s="38">
        <v>1</v>
      </c>
      <c r="H152" s="26" t="s">
        <v>70</v>
      </c>
      <c r="I152" s="12"/>
      <c r="J152" s="12"/>
      <c r="K152" s="242"/>
      <c r="L152" s="245"/>
      <c r="M152" s="25"/>
      <c r="N152" s="31" t="s">
        <v>768</v>
      </c>
      <c r="O152" s="29"/>
      <c r="P152" s="29"/>
      <c r="Q152" s="30"/>
    </row>
    <row r="153" spans="1:17" ht="33.75" customHeight="1">
      <c r="A153" s="16">
        <v>53</v>
      </c>
      <c r="B153" s="310" t="b">
        <v>0</v>
      </c>
      <c r="C153" s="12"/>
      <c r="D153" s="163" t="s">
        <v>751</v>
      </c>
      <c r="E153" s="14" t="s">
        <v>221</v>
      </c>
      <c r="F153" s="26">
        <v>39</v>
      </c>
      <c r="G153" s="38">
        <v>1</v>
      </c>
      <c r="H153" s="26" t="s">
        <v>70</v>
      </c>
      <c r="I153" s="12"/>
      <c r="J153" s="12"/>
      <c r="K153" s="242"/>
      <c r="L153" s="245"/>
      <c r="M153" s="25"/>
      <c r="N153" s="28"/>
      <c r="O153" s="29"/>
      <c r="P153" s="29"/>
      <c r="Q153" s="30"/>
    </row>
    <row r="154" spans="1:17" ht="33.75" customHeight="1">
      <c r="A154" s="16">
        <v>2</v>
      </c>
      <c r="B154" s="310" t="b">
        <v>0</v>
      </c>
      <c r="C154" s="12"/>
      <c r="D154" s="18"/>
      <c r="E154" s="14" t="s">
        <v>143</v>
      </c>
      <c r="F154" s="26"/>
      <c r="G154" s="38"/>
      <c r="H154" s="26" t="s">
        <v>70</v>
      </c>
      <c r="I154" s="26"/>
      <c r="J154" s="26"/>
      <c r="K154" s="242"/>
      <c r="L154" s="245"/>
      <c r="M154" s="25"/>
      <c r="N154" s="28"/>
      <c r="O154" s="29"/>
      <c r="P154" s="29"/>
      <c r="Q154" s="30"/>
    </row>
    <row r="155" spans="1:17" ht="33.75" customHeight="1">
      <c r="A155" s="16">
        <v>4</v>
      </c>
      <c r="B155" s="310" t="b">
        <v>0</v>
      </c>
      <c r="C155" s="12" t="s">
        <v>29</v>
      </c>
      <c r="D155" s="163" t="s">
        <v>472</v>
      </c>
      <c r="E155" s="154" t="s">
        <v>145</v>
      </c>
      <c r="F155" s="40"/>
      <c r="G155" s="38">
        <v>1</v>
      </c>
      <c r="H155" s="40" t="s">
        <v>70</v>
      </c>
      <c r="I155" s="12"/>
      <c r="J155" s="12"/>
      <c r="K155" s="242"/>
      <c r="L155" s="245"/>
      <c r="M155" s="25"/>
      <c r="N155" s="31"/>
      <c r="O155" s="32"/>
      <c r="P155" s="32"/>
      <c r="Q155" s="33"/>
    </row>
    <row r="156" spans="1:17" ht="33.75" customHeight="1">
      <c r="A156" s="16">
        <v>5</v>
      </c>
      <c r="B156" s="310" t="b">
        <v>0</v>
      </c>
      <c r="C156" s="12" t="s">
        <v>30</v>
      </c>
      <c r="D156" s="163" t="s">
        <v>473</v>
      </c>
      <c r="E156" s="154" t="s">
        <v>146</v>
      </c>
      <c r="F156" s="40"/>
      <c r="G156" s="38">
        <v>1</v>
      </c>
      <c r="H156" s="40" t="s">
        <v>70</v>
      </c>
      <c r="I156" s="12"/>
      <c r="J156" s="12"/>
      <c r="K156" s="242"/>
      <c r="L156" s="245"/>
      <c r="M156" s="25"/>
      <c r="N156" s="31"/>
      <c r="O156" s="32"/>
      <c r="P156" s="32"/>
      <c r="Q156" s="33"/>
    </row>
    <row r="157" spans="1:17" ht="33.75" customHeight="1">
      <c r="A157" s="16">
        <v>6</v>
      </c>
      <c r="B157" s="310" t="b">
        <v>0</v>
      </c>
      <c r="C157" s="12"/>
      <c r="D157" s="316"/>
      <c r="E157" s="154" t="s">
        <v>347</v>
      </c>
      <c r="F157" s="40"/>
      <c r="G157" s="38"/>
      <c r="H157" s="40" t="s">
        <v>70</v>
      </c>
      <c r="I157" s="12"/>
      <c r="J157" s="12"/>
      <c r="K157" s="242"/>
      <c r="L157" s="245"/>
      <c r="M157" s="25"/>
      <c r="N157" s="31"/>
      <c r="O157" s="32"/>
      <c r="P157" s="32"/>
      <c r="Q157" s="33"/>
    </row>
    <row r="158" spans="1:17" ht="33.75" customHeight="1">
      <c r="A158" s="16">
        <v>7</v>
      </c>
      <c r="B158" s="310" t="b">
        <v>0</v>
      </c>
      <c r="C158" s="55"/>
      <c r="D158" s="153" t="s">
        <v>475</v>
      </c>
      <c r="E158" s="154" t="s">
        <v>262</v>
      </c>
      <c r="F158" s="40"/>
      <c r="G158" s="38">
        <v>9</v>
      </c>
      <c r="H158" s="40" t="s">
        <v>72</v>
      </c>
      <c r="I158" s="55"/>
      <c r="J158" s="55"/>
      <c r="K158" s="243"/>
      <c r="L158" s="246"/>
      <c r="M158" s="180"/>
      <c r="N158" s="160"/>
      <c r="O158" s="161"/>
      <c r="P158" s="161"/>
      <c r="Q158" s="162"/>
    </row>
    <row r="159" spans="1:17" ht="33.75" customHeight="1">
      <c r="A159" s="16">
        <v>35</v>
      </c>
      <c r="B159" s="310" t="b">
        <v>0</v>
      </c>
      <c r="C159" s="12"/>
      <c r="D159" s="313" t="s">
        <v>515</v>
      </c>
      <c r="E159" s="14" t="s">
        <v>247</v>
      </c>
      <c r="F159" s="40"/>
      <c r="G159" s="38"/>
      <c r="H159" s="40" t="s">
        <v>70</v>
      </c>
      <c r="I159" s="55"/>
      <c r="J159" s="55"/>
      <c r="K159" s="243"/>
      <c r="L159" s="246"/>
      <c r="M159" s="180"/>
      <c r="N159" s="160"/>
      <c r="O159" s="161"/>
      <c r="P159" s="161"/>
      <c r="Q159" s="162"/>
    </row>
    <row r="160" spans="1:17" ht="33.75" customHeight="1">
      <c r="A160" s="16">
        <v>36</v>
      </c>
      <c r="B160" s="310" t="b">
        <v>0</v>
      </c>
      <c r="C160" s="12"/>
      <c r="D160" s="313" t="s">
        <v>515</v>
      </c>
      <c r="E160" s="14" t="s">
        <v>151</v>
      </c>
      <c r="F160" s="40"/>
      <c r="G160" s="38"/>
      <c r="H160" s="40" t="s">
        <v>70</v>
      </c>
      <c r="I160" s="12"/>
      <c r="J160" s="12"/>
      <c r="K160" s="242"/>
      <c r="L160" s="245"/>
      <c r="M160" s="25"/>
      <c r="N160" s="28"/>
      <c r="O160" s="29"/>
      <c r="P160" s="29"/>
      <c r="Q160" s="30"/>
    </row>
    <row r="161" spans="1:17" ht="33.75" customHeight="1">
      <c r="A161" s="16">
        <v>37</v>
      </c>
      <c r="B161" s="310" t="b">
        <v>0</v>
      </c>
      <c r="C161" s="12"/>
      <c r="D161" s="18"/>
      <c r="E161" s="14" t="s">
        <v>214</v>
      </c>
      <c r="F161" s="40"/>
      <c r="G161" s="38"/>
      <c r="H161" s="40" t="s">
        <v>70</v>
      </c>
      <c r="I161" s="12"/>
      <c r="J161" s="12"/>
      <c r="K161" s="242"/>
      <c r="L161" s="245"/>
      <c r="M161" s="25"/>
      <c r="N161" s="28"/>
      <c r="O161" s="29"/>
      <c r="P161" s="29"/>
      <c r="Q161" s="30"/>
    </row>
    <row r="162" spans="1:17" ht="33.75" customHeight="1">
      <c r="A162" s="16">
        <v>38</v>
      </c>
      <c r="B162" s="310" t="b">
        <v>0</v>
      </c>
      <c r="C162" s="12"/>
      <c r="D162" s="18"/>
      <c r="E162" s="14" t="s">
        <v>244</v>
      </c>
      <c r="F162" s="40"/>
      <c r="G162" s="38"/>
      <c r="H162" s="40" t="s">
        <v>70</v>
      </c>
      <c r="I162" s="12"/>
      <c r="J162" s="12"/>
      <c r="K162" s="242"/>
      <c r="L162" s="245"/>
      <c r="M162" s="25"/>
      <c r="N162" s="28"/>
      <c r="O162" s="29"/>
      <c r="P162" s="29"/>
      <c r="Q162" s="30"/>
    </row>
    <row r="163" spans="1:17" ht="33.75" customHeight="1">
      <c r="A163" s="16">
        <v>39</v>
      </c>
      <c r="B163" s="310" t="b">
        <v>0</v>
      </c>
      <c r="C163" s="12"/>
      <c r="D163" s="313" t="s">
        <v>515</v>
      </c>
      <c r="E163" s="14" t="s">
        <v>243</v>
      </c>
      <c r="F163" s="40"/>
      <c r="G163" s="38"/>
      <c r="H163" s="40" t="s">
        <v>70</v>
      </c>
      <c r="I163" s="12"/>
      <c r="J163" s="12"/>
      <c r="K163" s="242"/>
      <c r="L163" s="245"/>
      <c r="M163" s="25"/>
      <c r="N163" s="28"/>
      <c r="O163" s="29"/>
      <c r="P163" s="29"/>
      <c r="Q163" s="30"/>
    </row>
    <row r="164" spans="1:17" ht="33.75" customHeight="1">
      <c r="A164" s="16">
        <v>40</v>
      </c>
      <c r="B164" s="310" t="b">
        <v>0</v>
      </c>
      <c r="C164" s="12"/>
      <c r="D164" s="18"/>
      <c r="E164" s="14" t="s">
        <v>219</v>
      </c>
      <c r="F164" s="40"/>
      <c r="G164" s="38"/>
      <c r="H164" s="40" t="s">
        <v>70</v>
      </c>
      <c r="I164" s="12"/>
      <c r="J164" s="12"/>
      <c r="K164" s="242"/>
      <c r="L164" s="245"/>
      <c r="M164" s="25"/>
      <c r="N164" s="28"/>
      <c r="O164" s="29"/>
      <c r="P164" s="29"/>
      <c r="Q164" s="30"/>
    </row>
    <row r="165" spans="1:17" ht="33.75" customHeight="1">
      <c r="A165" s="16">
        <v>41</v>
      </c>
      <c r="B165" s="310" t="b">
        <v>0</v>
      </c>
      <c r="C165" s="12"/>
      <c r="D165" s="313" t="s">
        <v>515</v>
      </c>
      <c r="E165" s="14" t="s">
        <v>152</v>
      </c>
      <c r="F165" s="40"/>
      <c r="G165" s="38"/>
      <c r="H165" s="40" t="s">
        <v>70</v>
      </c>
      <c r="I165" s="12"/>
      <c r="J165" s="12"/>
      <c r="K165" s="242"/>
      <c r="L165" s="245"/>
      <c r="M165" s="25"/>
      <c r="N165" s="28" t="s">
        <v>153</v>
      </c>
      <c r="O165" s="29"/>
      <c r="P165" s="29"/>
      <c r="Q165" s="30"/>
    </row>
    <row r="166" spans="1:17" s="295" customFormat="1" ht="33.75" customHeight="1">
      <c r="A166" s="16">
        <v>42</v>
      </c>
      <c r="B166" s="310" t="b">
        <v>0</v>
      </c>
      <c r="C166" s="12"/>
      <c r="D166" s="313" t="s">
        <v>515</v>
      </c>
      <c r="E166" s="14" t="s">
        <v>246</v>
      </c>
      <c r="F166" s="26"/>
      <c r="G166" s="38"/>
      <c r="H166" s="26" t="s">
        <v>70</v>
      </c>
      <c r="I166" s="12"/>
      <c r="J166" s="12"/>
      <c r="K166" s="242"/>
      <c r="L166" s="245"/>
      <c r="M166" s="25"/>
      <c r="N166" s="28"/>
      <c r="O166" s="29"/>
      <c r="P166" s="29"/>
      <c r="Q166" s="30"/>
    </row>
    <row r="167" spans="1:17" s="295" customFormat="1" ht="33.75" customHeight="1">
      <c r="A167" s="16">
        <v>44</v>
      </c>
      <c r="B167" s="310" t="b">
        <v>0</v>
      </c>
      <c r="C167" s="12"/>
      <c r="D167" s="313" t="s">
        <v>515</v>
      </c>
      <c r="E167" s="14" t="s">
        <v>476</v>
      </c>
      <c r="F167" s="26"/>
      <c r="G167" s="38">
        <v>1</v>
      </c>
      <c r="H167" s="26" t="s">
        <v>70</v>
      </c>
      <c r="I167" s="12"/>
      <c r="J167" s="12"/>
      <c r="K167" s="242"/>
      <c r="L167" s="245"/>
      <c r="M167" s="25"/>
      <c r="N167" s="28"/>
      <c r="O167" s="157"/>
      <c r="P167" s="157"/>
      <c r="Q167" s="158"/>
    </row>
    <row r="168" spans="1:17" s="295" customFormat="1" ht="33.75" customHeight="1">
      <c r="A168" s="16">
        <v>54</v>
      </c>
      <c r="B168" s="310" t="b">
        <v>0</v>
      </c>
      <c r="C168" s="12"/>
      <c r="D168" s="313" t="s">
        <v>515</v>
      </c>
      <c r="E168" s="14" t="s">
        <v>155</v>
      </c>
      <c r="F168" s="40"/>
      <c r="G168" s="38"/>
      <c r="H168" s="40" t="s">
        <v>70</v>
      </c>
      <c r="I168" s="12"/>
      <c r="J168" s="12"/>
      <c r="K168" s="242"/>
      <c r="L168" s="245"/>
      <c r="M168" s="25"/>
      <c r="N168" s="28"/>
      <c r="O168" s="29"/>
      <c r="P168" s="29"/>
      <c r="Q168" s="30"/>
    </row>
    <row r="169" spans="1:17" s="295" customFormat="1" ht="33.75" customHeight="1">
      <c r="A169" s="16">
        <v>55</v>
      </c>
      <c r="B169" s="310" t="b">
        <v>0</v>
      </c>
      <c r="C169" s="12"/>
      <c r="D169" s="313" t="s">
        <v>515</v>
      </c>
      <c r="E169" s="14" t="s">
        <v>215</v>
      </c>
      <c r="F169" s="40"/>
      <c r="G169" s="38"/>
      <c r="H169" s="40" t="s">
        <v>70</v>
      </c>
      <c r="I169" s="12"/>
      <c r="J169" s="12"/>
      <c r="K169" s="242"/>
      <c r="L169" s="245"/>
      <c r="M169" s="25"/>
      <c r="N169" s="28"/>
      <c r="O169" s="29"/>
      <c r="P169" s="29"/>
      <c r="Q169" s="30"/>
    </row>
    <row r="170" spans="1:17" s="295" customFormat="1" ht="33.75" customHeight="1">
      <c r="A170" s="16">
        <v>56</v>
      </c>
      <c r="B170" s="310" t="b">
        <v>0</v>
      </c>
      <c r="C170" s="12"/>
      <c r="D170" s="313" t="s">
        <v>515</v>
      </c>
      <c r="E170" s="14" t="s">
        <v>216</v>
      </c>
      <c r="F170" s="40"/>
      <c r="G170" s="38"/>
      <c r="H170" s="40" t="s">
        <v>70</v>
      </c>
      <c r="I170" s="12"/>
      <c r="J170" s="12"/>
      <c r="K170" s="242"/>
      <c r="L170" s="245"/>
      <c r="M170" s="25"/>
      <c r="N170" s="28"/>
      <c r="O170" s="29"/>
      <c r="P170" s="29"/>
      <c r="Q170" s="30"/>
    </row>
    <row r="171" spans="1:17" ht="33.75" customHeight="1">
      <c r="A171" s="16">
        <v>57</v>
      </c>
      <c r="B171" s="310" t="b">
        <v>0</v>
      </c>
      <c r="C171" s="41"/>
      <c r="D171" s="313" t="s">
        <v>515</v>
      </c>
      <c r="E171" s="165" t="s">
        <v>216</v>
      </c>
      <c r="F171" s="40"/>
      <c r="G171" s="38"/>
      <c r="H171" s="40" t="s">
        <v>70</v>
      </c>
      <c r="I171" s="12"/>
      <c r="J171" s="12"/>
      <c r="K171" s="242"/>
      <c r="L171" s="245"/>
      <c r="M171" s="25"/>
      <c r="N171" s="28"/>
      <c r="O171" s="29"/>
      <c r="P171" s="29"/>
      <c r="Q171" s="30"/>
    </row>
    <row r="172" spans="1:17" ht="33.75" customHeight="1">
      <c r="A172" s="16">
        <v>58</v>
      </c>
      <c r="B172" s="310" t="b">
        <v>0</v>
      </c>
      <c r="C172" s="12"/>
      <c r="D172" s="313" t="s">
        <v>515</v>
      </c>
      <c r="E172" s="14" t="s">
        <v>217</v>
      </c>
      <c r="F172" s="40"/>
      <c r="G172" s="38"/>
      <c r="H172" s="40" t="s">
        <v>70</v>
      </c>
      <c r="I172" s="12"/>
      <c r="J172" s="12"/>
      <c r="K172" s="242"/>
      <c r="L172" s="245"/>
      <c r="M172" s="25"/>
      <c r="N172" s="28"/>
      <c r="O172" s="29"/>
      <c r="P172" s="29"/>
      <c r="Q172" s="30"/>
    </row>
    <row r="173" spans="1:17" ht="33.75" customHeight="1">
      <c r="A173" s="16">
        <v>59</v>
      </c>
      <c r="B173" s="310" t="b">
        <v>0</v>
      </c>
      <c r="C173" s="12"/>
      <c r="D173" s="313" t="s">
        <v>515</v>
      </c>
      <c r="E173" s="14" t="s">
        <v>218</v>
      </c>
      <c r="F173" s="40"/>
      <c r="G173" s="38"/>
      <c r="H173" s="40" t="s">
        <v>70</v>
      </c>
      <c r="I173" s="12"/>
      <c r="J173" s="12"/>
      <c r="K173" s="242"/>
      <c r="L173" s="245"/>
      <c r="M173" s="25"/>
      <c r="N173" s="28"/>
      <c r="O173" s="29"/>
      <c r="P173" s="29"/>
      <c r="Q173" s="30"/>
    </row>
    <row r="174" spans="1:17" ht="33.75" customHeight="1">
      <c r="A174" s="16">
        <v>60</v>
      </c>
      <c r="B174" s="310" t="b">
        <v>0</v>
      </c>
      <c r="C174" s="12"/>
      <c r="D174" s="313" t="s">
        <v>515</v>
      </c>
      <c r="E174" s="154" t="s">
        <v>517</v>
      </c>
      <c r="F174" s="27"/>
      <c r="G174" s="38"/>
      <c r="H174" s="40" t="s">
        <v>70</v>
      </c>
      <c r="I174" s="12"/>
      <c r="J174" s="12"/>
      <c r="K174" s="242"/>
      <c r="L174" s="245"/>
      <c r="M174" s="25"/>
      <c r="N174" s="28"/>
      <c r="O174" s="29"/>
      <c r="P174" s="29"/>
      <c r="Q174" s="30"/>
    </row>
    <row r="175" spans="1:17" ht="33.75" customHeight="1">
      <c r="A175" s="16">
        <v>61</v>
      </c>
      <c r="B175" s="310" t="b">
        <v>0</v>
      </c>
      <c r="C175" s="12"/>
      <c r="D175" s="313" t="s">
        <v>515</v>
      </c>
      <c r="E175" s="14" t="s">
        <v>156</v>
      </c>
      <c r="F175" s="40"/>
      <c r="G175" s="38"/>
      <c r="H175" s="40" t="s">
        <v>70</v>
      </c>
      <c r="I175" s="12"/>
      <c r="J175" s="12"/>
      <c r="K175" s="242"/>
      <c r="L175" s="245"/>
      <c r="M175" s="25"/>
      <c r="N175" s="28" t="s">
        <v>62</v>
      </c>
      <c r="O175" s="29"/>
      <c r="P175" s="29"/>
      <c r="Q175" s="30"/>
    </row>
    <row r="176" spans="1:17" ht="33.75" customHeight="1">
      <c r="A176" s="16">
        <v>62</v>
      </c>
      <c r="B176" s="310" t="b">
        <v>0</v>
      </c>
      <c r="C176" s="12"/>
      <c r="D176" s="313" t="s">
        <v>515</v>
      </c>
      <c r="E176" s="14" t="s">
        <v>371</v>
      </c>
      <c r="F176" s="40"/>
      <c r="G176" s="38"/>
      <c r="H176" s="40" t="s">
        <v>70</v>
      </c>
      <c r="I176" s="12"/>
      <c r="J176" s="12"/>
      <c r="K176" s="242"/>
      <c r="L176" s="245"/>
      <c r="M176" s="25"/>
      <c r="N176" s="28" t="s">
        <v>62</v>
      </c>
      <c r="O176" s="29"/>
      <c r="P176" s="29"/>
      <c r="Q176" s="30"/>
    </row>
    <row r="177" spans="1:17" ht="33.75" customHeight="1">
      <c r="A177" s="16">
        <v>63</v>
      </c>
      <c r="B177" s="310" t="b">
        <v>0</v>
      </c>
      <c r="C177" s="12"/>
      <c r="D177" s="313" t="s">
        <v>515</v>
      </c>
      <c r="E177" s="14" t="s">
        <v>157</v>
      </c>
      <c r="F177" s="40"/>
      <c r="G177" s="38"/>
      <c r="H177" s="40" t="s">
        <v>70</v>
      </c>
      <c r="I177" s="12"/>
      <c r="J177" s="12"/>
      <c r="K177" s="242"/>
      <c r="L177" s="245"/>
      <c r="M177" s="25"/>
      <c r="N177" s="28"/>
      <c r="O177" s="29"/>
      <c r="P177" s="29"/>
      <c r="Q177" s="30"/>
    </row>
    <row r="178" spans="1:17" ht="33.75" customHeight="1">
      <c r="A178" s="16">
        <v>64</v>
      </c>
      <c r="B178" s="310" t="b">
        <v>0</v>
      </c>
      <c r="C178" s="39"/>
      <c r="D178" s="313" t="s">
        <v>515</v>
      </c>
      <c r="E178" s="14" t="s">
        <v>212</v>
      </c>
      <c r="F178" s="26"/>
      <c r="G178" s="38"/>
      <c r="H178" s="26" t="s">
        <v>70</v>
      </c>
      <c r="I178" s="12"/>
      <c r="J178" s="12"/>
      <c r="K178" s="242"/>
      <c r="L178" s="245"/>
      <c r="M178" s="25"/>
      <c r="N178" s="28"/>
      <c r="O178" s="29"/>
      <c r="P178" s="29"/>
      <c r="Q178" s="30"/>
    </row>
    <row r="179" spans="1:17" ht="33.75" customHeight="1">
      <c r="A179" s="16">
        <v>65</v>
      </c>
      <c r="B179" s="310" t="b">
        <v>0</v>
      </c>
      <c r="C179" s="39"/>
      <c r="D179" s="313" t="s">
        <v>515</v>
      </c>
      <c r="E179" s="14" t="s">
        <v>240</v>
      </c>
      <c r="F179" s="26"/>
      <c r="G179" s="38"/>
      <c r="H179" s="26" t="s">
        <v>70</v>
      </c>
      <c r="I179" s="12"/>
      <c r="J179" s="12"/>
      <c r="K179" s="242"/>
      <c r="L179" s="245"/>
      <c r="M179" s="25"/>
      <c r="N179" s="28"/>
      <c r="O179" s="29"/>
      <c r="P179" s="29"/>
      <c r="Q179" s="30"/>
    </row>
    <row r="180" spans="1:17" ht="33.75" customHeight="1">
      <c r="A180" s="16">
        <v>80</v>
      </c>
      <c r="B180" s="310" t="b">
        <v>0</v>
      </c>
      <c r="C180" s="12"/>
      <c r="D180" s="313" t="s">
        <v>515</v>
      </c>
      <c r="E180" s="14" t="s">
        <v>351</v>
      </c>
      <c r="F180" s="26"/>
      <c r="G180" s="38"/>
      <c r="H180" s="26" t="s">
        <v>70</v>
      </c>
      <c r="I180" s="12"/>
      <c r="J180" s="12"/>
      <c r="K180" s="242"/>
      <c r="L180" s="245"/>
      <c r="M180" s="25"/>
      <c r="N180" s="28"/>
      <c r="O180" s="29"/>
      <c r="P180" s="29"/>
      <c r="Q180" s="30"/>
    </row>
    <row r="181" spans="1:17" ht="33.75" customHeight="1">
      <c r="A181" s="16">
        <v>83</v>
      </c>
      <c r="B181" s="310" t="b">
        <v>0</v>
      </c>
      <c r="C181" s="12"/>
      <c r="D181" s="313" t="s">
        <v>515</v>
      </c>
      <c r="E181" s="154" t="s">
        <v>259</v>
      </c>
      <c r="F181" s="27"/>
      <c r="G181" s="38"/>
      <c r="H181" s="26" t="s">
        <v>70</v>
      </c>
      <c r="I181" s="12"/>
      <c r="J181" s="12"/>
      <c r="K181" s="242"/>
      <c r="L181" s="245"/>
      <c r="M181" s="25"/>
      <c r="N181" s="28" t="s">
        <v>62</v>
      </c>
      <c r="O181" s="29"/>
      <c r="P181" s="29"/>
      <c r="Q181" s="30"/>
    </row>
    <row r="182" spans="1:17" ht="33.75" customHeight="1">
      <c r="A182" s="16">
        <v>85</v>
      </c>
      <c r="B182" s="310" t="b">
        <v>0</v>
      </c>
      <c r="C182" s="12"/>
      <c r="D182" s="313" t="s">
        <v>515</v>
      </c>
      <c r="E182" s="154" t="s">
        <v>275</v>
      </c>
      <c r="F182" s="26"/>
      <c r="G182" s="38"/>
      <c r="H182" s="26" t="s">
        <v>70</v>
      </c>
      <c r="I182" s="12"/>
      <c r="J182" s="12"/>
      <c r="K182" s="242"/>
      <c r="L182" s="245"/>
      <c r="M182" s="25"/>
      <c r="N182" s="28"/>
      <c r="O182" s="29"/>
      <c r="P182" s="29"/>
      <c r="Q182" s="30"/>
    </row>
    <row r="183" spans="1:17" ht="33.75" customHeight="1">
      <c r="A183" s="16">
        <v>86</v>
      </c>
      <c r="B183" s="310" t="b">
        <v>0</v>
      </c>
      <c r="C183" s="12"/>
      <c r="D183" s="313" t="s">
        <v>515</v>
      </c>
      <c r="E183" s="14" t="s">
        <v>166</v>
      </c>
      <c r="F183" s="26"/>
      <c r="G183" s="38"/>
      <c r="H183" s="26" t="s">
        <v>70</v>
      </c>
      <c r="I183" s="12"/>
      <c r="J183" s="12"/>
      <c r="K183" s="242"/>
      <c r="L183" s="245"/>
      <c r="M183" s="25"/>
      <c r="N183" s="28"/>
      <c r="O183" s="29"/>
      <c r="P183" s="29"/>
      <c r="Q183" s="30"/>
    </row>
    <row r="184" spans="1:17" ht="33.75" customHeight="1">
      <c r="A184" s="16">
        <v>87</v>
      </c>
      <c r="B184" s="310" t="b">
        <v>0</v>
      </c>
      <c r="C184" s="12"/>
      <c r="D184" s="313" t="s">
        <v>515</v>
      </c>
      <c r="E184" s="14" t="s">
        <v>352</v>
      </c>
      <c r="F184" s="26"/>
      <c r="G184" s="38"/>
      <c r="H184" s="26" t="s">
        <v>70</v>
      </c>
      <c r="I184" s="12"/>
      <c r="J184" s="12"/>
      <c r="K184" s="242"/>
      <c r="L184" s="245"/>
      <c r="M184" s="25"/>
      <c r="N184" s="28"/>
      <c r="O184" s="29"/>
      <c r="P184" s="29"/>
      <c r="Q184" s="30"/>
    </row>
    <row r="185" spans="1:17" ht="33.75" customHeight="1">
      <c r="A185" s="16">
        <v>90</v>
      </c>
      <c r="B185" s="310" t="b">
        <v>0</v>
      </c>
      <c r="C185" s="12"/>
      <c r="D185" s="313" t="s">
        <v>515</v>
      </c>
      <c r="E185" s="154" t="s">
        <v>170</v>
      </c>
      <c r="F185" s="27"/>
      <c r="G185" s="38"/>
      <c r="H185" s="26" t="s">
        <v>70</v>
      </c>
      <c r="I185" s="12"/>
      <c r="J185" s="12"/>
      <c r="K185" s="242"/>
      <c r="L185" s="245"/>
      <c r="M185" s="179"/>
      <c r="N185" s="28"/>
      <c r="O185" s="32"/>
      <c r="P185" s="32"/>
      <c r="Q185" s="33"/>
    </row>
    <row r="186" spans="1:17" ht="33.75" customHeight="1">
      <c r="A186" s="16">
        <v>94</v>
      </c>
      <c r="B186" s="310" t="b">
        <v>0</v>
      </c>
      <c r="C186" s="12"/>
      <c r="D186" s="313" t="s">
        <v>515</v>
      </c>
      <c r="E186" s="14" t="s">
        <v>165</v>
      </c>
      <c r="F186" s="40"/>
      <c r="G186" s="38"/>
      <c r="H186" s="26" t="s">
        <v>70</v>
      </c>
      <c r="I186" s="12"/>
      <c r="J186" s="12"/>
      <c r="K186" s="242"/>
      <c r="L186" s="245"/>
      <c r="M186" s="25"/>
      <c r="N186" s="28"/>
      <c r="O186" s="29"/>
      <c r="P186" s="29"/>
      <c r="Q186" s="30"/>
    </row>
    <row r="187" spans="1:17" ht="33.75" customHeight="1">
      <c r="A187" s="16">
        <v>97</v>
      </c>
      <c r="B187" s="310" t="b">
        <v>0</v>
      </c>
      <c r="C187" s="12" t="s">
        <v>49</v>
      </c>
      <c r="D187" s="18" t="s">
        <v>522</v>
      </c>
      <c r="E187" s="14" t="s">
        <v>464</v>
      </c>
      <c r="F187" s="40"/>
      <c r="G187" s="38">
        <v>2</v>
      </c>
      <c r="H187" s="26" t="s">
        <v>70</v>
      </c>
      <c r="I187" s="12"/>
      <c r="J187" s="12"/>
      <c r="K187" s="242"/>
      <c r="L187" s="245"/>
      <c r="M187" s="179"/>
      <c r="N187" s="31"/>
      <c r="O187" s="32"/>
      <c r="P187" s="32"/>
      <c r="Q187" s="33"/>
    </row>
    <row r="188" spans="1:17" ht="33.75" customHeight="1">
      <c r="A188" s="16">
        <v>98</v>
      </c>
      <c r="B188" s="310" t="b">
        <v>0</v>
      </c>
      <c r="C188" s="12"/>
      <c r="D188" s="313" t="s">
        <v>515</v>
      </c>
      <c r="E188" s="14" t="s">
        <v>520</v>
      </c>
      <c r="F188" s="40"/>
      <c r="G188" s="38">
        <v>2</v>
      </c>
      <c r="H188" s="26" t="s">
        <v>70</v>
      </c>
      <c r="I188" s="12"/>
      <c r="J188" s="12"/>
      <c r="K188" s="242"/>
      <c r="L188" s="245"/>
      <c r="M188" s="179"/>
      <c r="N188" s="31"/>
      <c r="O188" s="32"/>
      <c r="P188" s="32"/>
      <c r="Q188" s="33"/>
    </row>
    <row r="189" spans="1:17" ht="33.75" customHeight="1">
      <c r="A189" s="16">
        <v>99</v>
      </c>
      <c r="B189" s="310" t="b">
        <v>0</v>
      </c>
      <c r="C189" s="12"/>
      <c r="D189" s="313" t="s">
        <v>515</v>
      </c>
      <c r="E189" s="14" t="s">
        <v>175</v>
      </c>
      <c r="F189" s="40"/>
      <c r="G189" s="38"/>
      <c r="H189" s="26" t="s">
        <v>70</v>
      </c>
      <c r="I189" s="12"/>
      <c r="J189" s="12"/>
      <c r="K189" s="242"/>
      <c r="L189" s="245"/>
      <c r="M189" s="179"/>
      <c r="N189" s="31"/>
      <c r="O189" s="32"/>
      <c r="P189" s="32"/>
      <c r="Q189" s="33"/>
    </row>
    <row r="190" spans="1:17" ht="33.75" customHeight="1">
      <c r="A190" s="16">
        <v>100</v>
      </c>
      <c r="B190" s="310" t="b">
        <v>0</v>
      </c>
      <c r="C190" s="12"/>
      <c r="D190" s="18" t="s">
        <v>522</v>
      </c>
      <c r="E190" s="14" t="s">
        <v>176</v>
      </c>
      <c r="F190" s="40"/>
      <c r="G190" s="38">
        <v>7</v>
      </c>
      <c r="H190" s="26" t="s">
        <v>72</v>
      </c>
      <c r="I190" s="12"/>
      <c r="J190" s="12"/>
      <c r="K190" s="242"/>
      <c r="L190" s="245"/>
      <c r="M190" s="25"/>
      <c r="N190" s="28" t="s">
        <v>478</v>
      </c>
      <c r="O190" s="32"/>
      <c r="P190" s="32"/>
      <c r="Q190" s="33"/>
    </row>
    <row r="191" spans="1:17" ht="33.75" customHeight="1">
      <c r="A191" s="16">
        <v>101</v>
      </c>
      <c r="B191" s="310" t="b">
        <v>0</v>
      </c>
      <c r="C191" s="12"/>
      <c r="D191" s="192" t="s">
        <v>522</v>
      </c>
      <c r="E191" s="14" t="s">
        <v>356</v>
      </c>
      <c r="F191" s="40"/>
      <c r="G191" s="38"/>
      <c r="H191" s="26" t="s">
        <v>70</v>
      </c>
      <c r="I191" s="12"/>
      <c r="J191" s="12"/>
      <c r="K191" s="242"/>
      <c r="L191" s="245"/>
      <c r="M191" s="25"/>
      <c r="N191" s="28" t="s">
        <v>51</v>
      </c>
      <c r="O191" s="32"/>
      <c r="P191" s="32"/>
      <c r="Q191" s="33"/>
    </row>
    <row r="192" spans="1:17" ht="33.75" customHeight="1">
      <c r="A192" s="16">
        <v>102</v>
      </c>
      <c r="B192" s="310" t="b">
        <v>0</v>
      </c>
      <c r="C192" s="12"/>
      <c r="D192" s="18" t="s">
        <v>521</v>
      </c>
      <c r="E192" s="14" t="s">
        <v>357</v>
      </c>
      <c r="F192" s="40"/>
      <c r="G192" s="38"/>
      <c r="H192" s="26" t="s">
        <v>72</v>
      </c>
      <c r="I192" s="12"/>
      <c r="J192" s="12"/>
      <c r="K192" s="242"/>
      <c r="L192" s="245"/>
      <c r="M192" s="25"/>
      <c r="N192" s="28" t="s">
        <v>381</v>
      </c>
      <c r="O192" s="32"/>
      <c r="P192" s="32"/>
      <c r="Q192" s="33"/>
    </row>
    <row r="193" spans="1:17" ht="33.75" customHeight="1">
      <c r="A193" s="16">
        <v>103</v>
      </c>
      <c r="B193" s="310" t="b">
        <v>0</v>
      </c>
      <c r="C193" s="12" t="s">
        <v>50</v>
      </c>
      <c r="D193" s="18" t="s">
        <v>522</v>
      </c>
      <c r="E193" s="14" t="s">
        <v>254</v>
      </c>
      <c r="F193" s="26"/>
      <c r="G193" s="38"/>
      <c r="H193" s="26" t="s">
        <v>70</v>
      </c>
      <c r="I193" s="12"/>
      <c r="J193" s="12"/>
      <c r="K193" s="242"/>
      <c r="L193" s="245"/>
      <c r="M193" s="25"/>
      <c r="N193" s="28"/>
      <c r="O193" s="32"/>
      <c r="P193" s="32"/>
      <c r="Q193" s="33"/>
    </row>
    <row r="194" spans="1:17" ht="33.75" customHeight="1">
      <c r="A194" s="16">
        <v>109</v>
      </c>
      <c r="B194" s="310" t="b">
        <v>0</v>
      </c>
      <c r="C194" s="285"/>
      <c r="D194" s="286" t="s">
        <v>393</v>
      </c>
      <c r="E194" s="287" t="s">
        <v>497</v>
      </c>
      <c r="F194" s="288"/>
      <c r="G194" s="289">
        <v>100</v>
      </c>
      <c r="H194" s="289" t="s">
        <v>72</v>
      </c>
      <c r="I194" s="285"/>
      <c r="J194" s="285"/>
      <c r="K194" s="290"/>
      <c r="L194" s="291"/>
      <c r="M194" s="290"/>
      <c r="N194" s="292"/>
      <c r="O194" s="293"/>
      <c r="P194" s="293"/>
      <c r="Q194" s="294"/>
    </row>
    <row r="195" spans="1:17" ht="33.75" customHeight="1">
      <c r="A195" s="16">
        <v>110</v>
      </c>
      <c r="B195" s="310" t="b">
        <v>0</v>
      </c>
      <c r="C195" s="285"/>
      <c r="D195" s="286" t="s">
        <v>394</v>
      </c>
      <c r="E195" s="287" t="s">
        <v>498</v>
      </c>
      <c r="F195" s="288"/>
      <c r="G195" s="289">
        <v>100</v>
      </c>
      <c r="H195" s="289" t="s">
        <v>72</v>
      </c>
      <c r="I195" s="285"/>
      <c r="J195" s="285"/>
      <c r="K195" s="290"/>
      <c r="L195" s="291"/>
      <c r="M195" s="290"/>
      <c r="N195" s="292"/>
      <c r="O195" s="293"/>
      <c r="P195" s="293"/>
      <c r="Q195" s="294"/>
    </row>
    <row r="196" spans="1:17" ht="33.75" customHeight="1">
      <c r="A196" s="16">
        <v>111</v>
      </c>
      <c r="B196" s="310" t="b">
        <v>0</v>
      </c>
      <c r="C196" s="285"/>
      <c r="D196" s="286" t="s">
        <v>395</v>
      </c>
      <c r="E196" s="287" t="s">
        <v>499</v>
      </c>
      <c r="F196" s="288"/>
      <c r="G196" s="289">
        <v>100</v>
      </c>
      <c r="H196" s="289" t="s">
        <v>72</v>
      </c>
      <c r="I196" s="285"/>
      <c r="J196" s="285"/>
      <c r="K196" s="290"/>
      <c r="L196" s="291"/>
      <c r="M196" s="290"/>
      <c r="N196" s="292"/>
      <c r="O196" s="293"/>
      <c r="P196" s="293"/>
      <c r="Q196" s="294"/>
    </row>
    <row r="197" spans="1:17" ht="33.75" customHeight="1">
      <c r="A197" s="16">
        <v>112</v>
      </c>
      <c r="B197" s="310" t="b">
        <v>0</v>
      </c>
      <c r="C197" s="285"/>
      <c r="D197" s="286" t="s">
        <v>479</v>
      </c>
      <c r="E197" s="287" t="s">
        <v>500</v>
      </c>
      <c r="F197" s="288"/>
      <c r="G197" s="289">
        <v>100</v>
      </c>
      <c r="H197" s="289" t="s">
        <v>72</v>
      </c>
      <c r="I197" s="285"/>
      <c r="J197" s="285"/>
      <c r="K197" s="290"/>
      <c r="L197" s="291"/>
      <c r="M197" s="290"/>
      <c r="N197" s="292"/>
      <c r="O197" s="293"/>
      <c r="P197" s="293"/>
      <c r="Q197" s="294"/>
    </row>
    <row r="198" spans="1:17" ht="33.75" customHeight="1">
      <c r="A198" s="16">
        <v>113</v>
      </c>
      <c r="B198" s="310" t="b">
        <v>0</v>
      </c>
      <c r="C198" s="285"/>
      <c r="D198" s="286" t="s">
        <v>503</v>
      </c>
      <c r="E198" s="287" t="s">
        <v>504</v>
      </c>
      <c r="F198" s="288"/>
      <c r="G198" s="289">
        <v>100</v>
      </c>
      <c r="H198" s="289" t="s">
        <v>72</v>
      </c>
      <c r="I198" s="285"/>
      <c r="J198" s="285"/>
      <c r="K198" s="290"/>
      <c r="L198" s="291"/>
      <c r="M198" s="290"/>
      <c r="N198" s="296"/>
      <c r="O198" s="293"/>
      <c r="P198" s="293"/>
      <c r="Q198" s="294"/>
    </row>
    <row r="199" spans="1:17" ht="33.75" customHeight="1">
      <c r="A199" s="16">
        <v>114</v>
      </c>
      <c r="B199" s="310" t="b">
        <v>0</v>
      </c>
      <c r="C199" s="12"/>
      <c r="D199" s="18"/>
      <c r="E199" s="14" t="s">
        <v>399</v>
      </c>
      <c r="F199" s="26"/>
      <c r="G199" s="38"/>
      <c r="H199" s="26" t="s">
        <v>72</v>
      </c>
      <c r="I199" s="12"/>
      <c r="J199" s="12"/>
      <c r="K199" s="242"/>
      <c r="L199" s="245"/>
      <c r="M199" s="25"/>
      <c r="N199" s="159" t="s">
        <v>383</v>
      </c>
      <c r="O199" s="32"/>
      <c r="P199" s="32"/>
      <c r="Q199" s="33"/>
    </row>
    <row r="200" spans="1:17" ht="33.75" customHeight="1">
      <c r="A200" s="16">
        <v>117</v>
      </c>
      <c r="B200" s="310" t="b">
        <v>0</v>
      </c>
      <c r="C200" s="12"/>
      <c r="D200" s="18"/>
      <c r="E200" s="14" t="s">
        <v>230</v>
      </c>
      <c r="F200" s="26"/>
      <c r="G200" s="38"/>
      <c r="H200" s="26" t="s">
        <v>70</v>
      </c>
      <c r="I200" s="12"/>
      <c r="J200" s="12"/>
      <c r="K200" s="242"/>
      <c r="L200" s="245"/>
      <c r="M200" s="25"/>
      <c r="N200" s="31"/>
      <c r="O200" s="32"/>
      <c r="P200" s="32"/>
      <c r="Q200" s="33"/>
    </row>
    <row r="201" spans="1:17" ht="33.75" customHeight="1">
      <c r="A201" s="16">
        <v>118</v>
      </c>
      <c r="B201" s="310" t="b">
        <v>0</v>
      </c>
      <c r="C201" s="12"/>
      <c r="D201" s="18" t="s">
        <v>522</v>
      </c>
      <c r="E201" s="14" t="s">
        <v>231</v>
      </c>
      <c r="F201" s="26"/>
      <c r="G201" s="38">
        <v>1</v>
      </c>
      <c r="H201" s="26" t="s">
        <v>70</v>
      </c>
      <c r="I201" s="12"/>
      <c r="J201" s="12"/>
      <c r="K201" s="242"/>
      <c r="L201" s="245"/>
      <c r="M201" s="25"/>
      <c r="N201" s="31"/>
      <c r="O201" s="32"/>
      <c r="P201" s="32"/>
      <c r="Q201" s="33"/>
    </row>
    <row r="202" spans="1:17" ht="33.75" customHeight="1">
      <c r="A202" s="16">
        <v>119</v>
      </c>
      <c r="B202" s="310" t="b">
        <v>0</v>
      </c>
      <c r="C202" s="232"/>
      <c r="D202" s="233" t="s">
        <v>522</v>
      </c>
      <c r="E202" s="234" t="s">
        <v>261</v>
      </c>
      <c r="F202" s="235"/>
      <c r="G202" s="235"/>
      <c r="H202" s="235" t="s">
        <v>70</v>
      </c>
      <c r="I202" s="232"/>
      <c r="J202" s="232"/>
      <c r="K202" s="242"/>
      <c r="L202" s="245"/>
      <c r="M202" s="236"/>
      <c r="N202" s="237"/>
      <c r="O202" s="238"/>
      <c r="P202" s="238"/>
      <c r="Q202" s="239"/>
    </row>
    <row r="203" spans="1:17" ht="33.75" customHeight="1">
      <c r="A203" s="16">
        <v>120</v>
      </c>
      <c r="B203" s="310" t="b">
        <v>0</v>
      </c>
      <c r="C203" s="232"/>
      <c r="D203" s="233" t="s">
        <v>522</v>
      </c>
      <c r="E203" s="234" t="s">
        <v>523</v>
      </c>
      <c r="F203" s="235"/>
      <c r="G203" s="235"/>
      <c r="H203" s="235" t="s">
        <v>531</v>
      </c>
      <c r="I203" s="232"/>
      <c r="J203" s="232"/>
      <c r="K203" s="242"/>
      <c r="L203" s="245"/>
      <c r="M203" s="236"/>
      <c r="N203" s="237" t="s">
        <v>528</v>
      </c>
      <c r="O203" s="238"/>
      <c r="P203" s="238"/>
      <c r="Q203" s="239"/>
    </row>
    <row r="204" spans="1:17" ht="33.75" customHeight="1">
      <c r="A204" s="16">
        <v>121</v>
      </c>
      <c r="B204" s="310" t="b">
        <v>0</v>
      </c>
      <c r="C204" s="232"/>
      <c r="D204" s="233" t="s">
        <v>527</v>
      </c>
      <c r="E204" s="234" t="s">
        <v>524</v>
      </c>
      <c r="F204" s="235"/>
      <c r="G204" s="235"/>
      <c r="H204" s="235" t="s">
        <v>70</v>
      </c>
      <c r="I204" s="232"/>
      <c r="J204" s="232"/>
      <c r="K204" s="242"/>
      <c r="L204" s="245"/>
      <c r="M204" s="236"/>
      <c r="N204" s="237" t="s">
        <v>528</v>
      </c>
      <c r="O204" s="238"/>
      <c r="P204" s="238"/>
      <c r="Q204" s="239"/>
    </row>
    <row r="205" spans="1:17" ht="33.75" customHeight="1">
      <c r="A205" s="16">
        <v>123</v>
      </c>
      <c r="B205" s="310" t="b">
        <v>0</v>
      </c>
      <c r="C205" s="12"/>
      <c r="D205" s="18"/>
      <c r="E205" s="14" t="s">
        <v>288</v>
      </c>
      <c r="F205" s="26"/>
      <c r="G205" s="38"/>
      <c r="H205" s="37" t="s">
        <v>70</v>
      </c>
      <c r="I205" s="12"/>
      <c r="J205" s="12"/>
      <c r="K205" s="242"/>
      <c r="L205" s="245"/>
      <c r="M205" s="25"/>
      <c r="N205" s="31"/>
      <c r="O205" s="32"/>
      <c r="P205" s="32"/>
      <c r="Q205" s="33"/>
    </row>
    <row r="206" spans="1:17" ht="33.75" customHeight="1">
      <c r="A206" s="16">
        <v>124</v>
      </c>
      <c r="B206" s="310" t="b">
        <v>0</v>
      </c>
      <c r="C206" s="12" t="s">
        <v>58</v>
      </c>
      <c r="D206" s="18"/>
      <c r="E206" s="14" t="s">
        <v>203</v>
      </c>
      <c r="F206" s="26"/>
      <c r="G206" s="38"/>
      <c r="H206" s="26" t="s">
        <v>70</v>
      </c>
      <c r="I206" s="12"/>
      <c r="J206" s="12"/>
      <c r="K206" s="242"/>
      <c r="L206" s="245"/>
      <c r="M206" s="25"/>
      <c r="N206" s="31"/>
      <c r="O206" s="32"/>
      <c r="P206" s="32"/>
      <c r="Q206" s="33"/>
    </row>
    <row r="207" spans="1:17" ht="33.75" customHeight="1">
      <c r="A207" s="16">
        <v>127</v>
      </c>
      <c r="B207" s="310" t="b">
        <v>0</v>
      </c>
      <c r="C207" s="12"/>
      <c r="D207" s="18" t="s">
        <v>522</v>
      </c>
      <c r="E207" s="14" t="s">
        <v>330</v>
      </c>
      <c r="F207" s="26"/>
      <c r="G207" s="38"/>
      <c r="H207" s="26" t="s">
        <v>70</v>
      </c>
      <c r="I207" s="12"/>
      <c r="J207" s="12"/>
      <c r="K207" s="242"/>
      <c r="L207" s="245"/>
      <c r="M207" s="25"/>
      <c r="N207" s="31"/>
      <c r="O207" s="32"/>
      <c r="P207" s="32"/>
      <c r="Q207" s="33"/>
    </row>
    <row r="208" spans="1:17" ht="33.75" customHeight="1">
      <c r="A208" s="16">
        <v>128</v>
      </c>
      <c r="B208" s="310" t="b">
        <v>0</v>
      </c>
      <c r="C208" s="12"/>
      <c r="D208" s="18"/>
      <c r="E208" s="14" t="s">
        <v>287</v>
      </c>
      <c r="F208" s="26"/>
      <c r="G208" s="38"/>
      <c r="H208" s="26" t="s">
        <v>70</v>
      </c>
      <c r="I208" s="12"/>
      <c r="J208" s="12"/>
      <c r="K208" s="242"/>
      <c r="L208" s="245"/>
      <c r="M208" s="25"/>
      <c r="N208" s="31"/>
      <c r="O208" s="32"/>
      <c r="P208" s="32"/>
      <c r="Q208" s="33"/>
    </row>
    <row r="209" spans="1:17" ht="33.75" customHeight="1">
      <c r="A209" s="16">
        <v>129</v>
      </c>
      <c r="B209" s="310" t="b">
        <v>0</v>
      </c>
      <c r="C209" s="12"/>
      <c r="D209" s="18"/>
      <c r="E209" s="14" t="s">
        <v>199</v>
      </c>
      <c r="F209" s="26"/>
      <c r="G209" s="38"/>
      <c r="H209" s="26" t="s">
        <v>70</v>
      </c>
      <c r="I209" s="12"/>
      <c r="J209" s="12"/>
      <c r="K209" s="242"/>
      <c r="L209" s="245"/>
      <c r="M209" s="25"/>
      <c r="N209" s="31"/>
      <c r="O209" s="32"/>
      <c r="P209" s="32"/>
      <c r="Q209" s="33"/>
    </row>
    <row r="210" spans="1:17" ht="33.75" customHeight="1">
      <c r="A210" s="16">
        <v>130</v>
      </c>
      <c r="B210" s="310" t="b">
        <v>0</v>
      </c>
      <c r="C210" s="12"/>
      <c r="D210" s="18"/>
      <c r="E210" s="14" t="s">
        <v>233</v>
      </c>
      <c r="F210" s="26"/>
      <c r="G210" s="38"/>
      <c r="H210" s="26" t="s">
        <v>70</v>
      </c>
      <c r="I210" s="12"/>
      <c r="J210" s="12"/>
      <c r="K210" s="242"/>
      <c r="L210" s="245"/>
      <c r="M210" s="25"/>
      <c r="N210" s="31"/>
      <c r="O210" s="32"/>
      <c r="P210" s="32"/>
      <c r="Q210" s="33"/>
    </row>
    <row r="211" spans="1:17" ht="33.75" customHeight="1">
      <c r="A211" s="16">
        <v>131</v>
      </c>
      <c r="B211" s="310" t="b">
        <v>0</v>
      </c>
      <c r="C211" s="12"/>
      <c r="D211" s="18"/>
      <c r="E211" s="14" t="s">
        <v>232</v>
      </c>
      <c r="F211" s="26"/>
      <c r="G211" s="38"/>
      <c r="H211" s="26" t="s">
        <v>70</v>
      </c>
      <c r="I211" s="12"/>
      <c r="J211" s="12"/>
      <c r="K211" s="242"/>
      <c r="L211" s="245"/>
      <c r="M211" s="25"/>
      <c r="N211" s="31"/>
      <c r="O211" s="32"/>
      <c r="P211" s="32"/>
      <c r="Q211" s="33"/>
    </row>
    <row r="212" spans="1:17" ht="33.75" customHeight="1">
      <c r="A212" s="16">
        <v>132</v>
      </c>
      <c r="B212" s="310" t="b">
        <v>0</v>
      </c>
      <c r="C212" s="12"/>
      <c r="D212" s="18"/>
      <c r="E212" s="14" t="s">
        <v>200</v>
      </c>
      <c r="F212" s="26"/>
      <c r="G212" s="38"/>
      <c r="H212" s="26" t="s">
        <v>70</v>
      </c>
      <c r="I212" s="12"/>
      <c r="J212" s="12"/>
      <c r="K212" s="242"/>
      <c r="L212" s="245"/>
      <c r="M212" s="25"/>
      <c r="N212" s="31"/>
      <c r="O212" s="32"/>
      <c r="P212" s="32"/>
      <c r="Q212" s="33"/>
    </row>
    <row r="213" spans="1:17" ht="33.75" customHeight="1">
      <c r="A213" s="16">
        <v>133</v>
      </c>
      <c r="B213" s="310" t="b">
        <v>0</v>
      </c>
      <c r="C213" s="12"/>
      <c r="D213" s="163"/>
      <c r="E213" s="154" t="s">
        <v>201</v>
      </c>
      <c r="F213" s="40"/>
      <c r="G213" s="38"/>
      <c r="H213" s="40" t="s">
        <v>70</v>
      </c>
      <c r="I213" s="12"/>
      <c r="J213" s="12"/>
      <c r="K213" s="242"/>
      <c r="L213" s="245"/>
      <c r="M213" s="25"/>
      <c r="N213" s="31"/>
      <c r="O213" s="32"/>
      <c r="P213" s="32"/>
      <c r="Q213" s="33"/>
    </row>
    <row r="214" spans="1:17" ht="33.75" customHeight="1">
      <c r="A214" s="16">
        <v>134</v>
      </c>
      <c r="B214" s="310" t="b">
        <v>0</v>
      </c>
      <c r="C214" s="12" t="s">
        <v>57</v>
      </c>
      <c r="D214" s="18"/>
      <c r="E214" s="14" t="s">
        <v>289</v>
      </c>
      <c r="F214" s="26"/>
      <c r="G214" s="38"/>
      <c r="H214" s="26" t="s">
        <v>70</v>
      </c>
      <c r="I214" s="12"/>
      <c r="J214" s="12"/>
      <c r="K214" s="242"/>
      <c r="L214" s="245"/>
      <c r="M214" s="25"/>
      <c r="N214" s="31"/>
      <c r="O214" s="32"/>
      <c r="P214" s="32"/>
      <c r="Q214" s="33"/>
    </row>
    <row r="215" spans="1:17" ht="33.75" customHeight="1">
      <c r="A215" s="16">
        <v>135</v>
      </c>
      <c r="B215" s="310" t="b">
        <v>0</v>
      </c>
      <c r="C215" s="12" t="s">
        <v>59</v>
      </c>
      <c r="D215" s="163"/>
      <c r="E215" s="14" t="s">
        <v>205</v>
      </c>
      <c r="F215" s="26"/>
      <c r="G215" s="38"/>
      <c r="H215" s="26" t="s">
        <v>70</v>
      </c>
      <c r="I215" s="12"/>
      <c r="J215" s="12"/>
      <c r="K215" s="242"/>
      <c r="L215" s="245"/>
      <c r="M215" s="25"/>
      <c r="N215" s="31" t="s">
        <v>226</v>
      </c>
      <c r="O215" s="32"/>
      <c r="P215" s="32"/>
      <c r="Q215" s="33"/>
    </row>
    <row r="216" spans="1:17" ht="33.75" customHeight="1">
      <c r="A216" s="16">
        <v>136</v>
      </c>
      <c r="B216" s="310" t="b">
        <v>0</v>
      </c>
      <c r="C216" s="12" t="s">
        <v>60</v>
      </c>
      <c r="D216" s="18"/>
      <c r="E216" s="14" t="s">
        <v>291</v>
      </c>
      <c r="F216" s="26"/>
      <c r="G216" s="38"/>
      <c r="H216" s="26" t="s">
        <v>70</v>
      </c>
      <c r="I216" s="12"/>
      <c r="J216" s="12"/>
      <c r="K216" s="242"/>
      <c r="L216" s="245"/>
      <c r="M216" s="25"/>
      <c r="N216" s="31"/>
      <c r="O216" s="32"/>
      <c r="P216" s="32"/>
      <c r="Q216" s="33"/>
    </row>
    <row r="217" spans="1:17" ht="33.75" customHeight="1">
      <c r="A217" s="16">
        <v>137</v>
      </c>
      <c r="B217" s="310" t="b">
        <v>0</v>
      </c>
      <c r="C217" s="12"/>
      <c r="D217" s="18"/>
      <c r="E217" s="14" t="s">
        <v>296</v>
      </c>
      <c r="F217" s="26"/>
      <c r="G217" s="38"/>
      <c r="H217" s="26" t="s">
        <v>70</v>
      </c>
      <c r="I217" s="12"/>
      <c r="J217" s="12"/>
      <c r="K217" s="242"/>
      <c r="L217" s="245"/>
      <c r="M217" s="25"/>
      <c r="N217" s="31"/>
      <c r="O217" s="32"/>
      <c r="P217" s="32"/>
      <c r="Q217" s="33"/>
    </row>
    <row r="218" spans="1:17" ht="33.75" customHeight="1">
      <c r="A218" s="16">
        <v>138</v>
      </c>
      <c r="B218" s="310" t="b">
        <v>0</v>
      </c>
      <c r="C218" s="12"/>
      <c r="D218" s="18"/>
      <c r="E218" s="14" t="s">
        <v>302</v>
      </c>
      <c r="F218" s="26"/>
      <c r="G218" s="38"/>
      <c r="H218" s="26" t="s">
        <v>70</v>
      </c>
      <c r="I218" s="12"/>
      <c r="J218" s="12"/>
      <c r="K218" s="242"/>
      <c r="L218" s="245"/>
      <c r="M218" s="25"/>
      <c r="N218" s="31"/>
      <c r="O218" s="32"/>
      <c r="P218" s="32"/>
      <c r="Q218" s="33"/>
    </row>
    <row r="219" spans="1:17" ht="33.75" customHeight="1">
      <c r="A219" s="16">
        <v>139</v>
      </c>
      <c r="B219" s="310" t="b">
        <v>0</v>
      </c>
      <c r="C219" s="12"/>
      <c r="D219" s="18"/>
      <c r="E219" s="14" t="s">
        <v>304</v>
      </c>
      <c r="F219" s="26"/>
      <c r="G219" s="38"/>
      <c r="H219" s="26" t="s">
        <v>70</v>
      </c>
      <c r="I219" s="12"/>
      <c r="J219" s="12"/>
      <c r="K219" s="242"/>
      <c r="L219" s="245"/>
      <c r="M219" s="25"/>
      <c r="N219" s="31"/>
      <c r="O219" s="32"/>
      <c r="P219" s="32"/>
      <c r="Q219" s="33"/>
    </row>
    <row r="220" spans="1:17" ht="33.75" customHeight="1">
      <c r="A220" s="16">
        <v>140</v>
      </c>
      <c r="B220" s="310" t="b">
        <v>0</v>
      </c>
      <c r="C220" s="12"/>
      <c r="D220" s="18"/>
      <c r="E220" s="154" t="s">
        <v>302</v>
      </c>
      <c r="F220" s="26"/>
      <c r="G220" s="38"/>
      <c r="H220" s="26" t="s">
        <v>70</v>
      </c>
      <c r="I220" s="12"/>
      <c r="J220" s="12"/>
      <c r="K220" s="242"/>
      <c r="L220" s="245"/>
      <c r="M220" s="25"/>
      <c r="N220" s="31"/>
      <c r="O220" s="32"/>
      <c r="P220" s="32"/>
      <c r="Q220" s="33"/>
    </row>
    <row r="221" spans="1:17" ht="33.75" customHeight="1">
      <c r="A221" s="16">
        <v>141</v>
      </c>
      <c r="B221" s="310" t="b">
        <v>0</v>
      </c>
      <c r="C221" s="12"/>
      <c r="D221" s="18"/>
      <c r="E221" s="14" t="s">
        <v>320</v>
      </c>
      <c r="F221" s="26"/>
      <c r="G221" s="38"/>
      <c r="H221" s="26" t="s">
        <v>70</v>
      </c>
      <c r="I221" s="12"/>
      <c r="J221" s="12"/>
      <c r="K221" s="242"/>
      <c r="L221" s="245"/>
      <c r="M221" s="25"/>
      <c r="N221" s="31"/>
      <c r="O221" s="32"/>
      <c r="P221" s="32"/>
      <c r="Q221" s="33"/>
    </row>
    <row r="222" spans="1:17" ht="33.75" customHeight="1">
      <c r="A222" s="16">
        <v>142</v>
      </c>
      <c r="B222" s="310" t="b">
        <v>0</v>
      </c>
      <c r="C222" s="12"/>
      <c r="D222" s="18" t="s">
        <v>489</v>
      </c>
      <c r="E222" s="14" t="s">
        <v>321</v>
      </c>
      <c r="F222" s="26"/>
      <c r="G222" s="38">
        <v>1</v>
      </c>
      <c r="H222" s="26" t="s">
        <v>70</v>
      </c>
      <c r="I222" s="12"/>
      <c r="J222" s="12"/>
      <c r="K222" s="242"/>
      <c r="L222" s="245"/>
      <c r="M222" s="25"/>
      <c r="N222" s="31"/>
      <c r="O222" s="32"/>
      <c r="P222" s="32"/>
      <c r="Q222" s="33"/>
    </row>
    <row r="223" spans="1:17" ht="33.75" customHeight="1">
      <c r="A223" s="16">
        <v>143</v>
      </c>
      <c r="B223" s="310" t="b">
        <v>0</v>
      </c>
      <c r="C223" s="12"/>
      <c r="D223" s="18"/>
      <c r="E223" s="154" t="s">
        <v>287</v>
      </c>
      <c r="F223" s="26"/>
      <c r="G223" s="38"/>
      <c r="H223" s="26" t="s">
        <v>70</v>
      </c>
      <c r="I223" s="12"/>
      <c r="J223" s="12"/>
      <c r="K223" s="242"/>
      <c r="L223" s="245"/>
      <c r="M223" s="25"/>
      <c r="N223" s="31"/>
      <c r="O223" s="32"/>
      <c r="P223" s="32"/>
      <c r="Q223" s="33"/>
    </row>
    <row r="224" spans="1:17" ht="33.75" customHeight="1">
      <c r="A224" s="16">
        <v>144</v>
      </c>
      <c r="B224" s="310" t="b">
        <v>0</v>
      </c>
      <c r="C224" s="12"/>
      <c r="D224" s="18"/>
      <c r="E224" s="154" t="s">
        <v>232</v>
      </c>
      <c r="F224" s="26"/>
      <c r="G224" s="38"/>
      <c r="H224" s="26" t="s">
        <v>70</v>
      </c>
      <c r="I224" s="12"/>
      <c r="J224" s="12"/>
      <c r="K224" s="242"/>
      <c r="L224" s="245"/>
      <c r="M224" s="25"/>
      <c r="N224" s="31"/>
      <c r="O224" s="32"/>
      <c r="P224" s="32"/>
      <c r="Q224" s="33"/>
    </row>
    <row r="225" spans="1:17" ht="33.75" customHeight="1">
      <c r="A225" s="16">
        <v>145</v>
      </c>
      <c r="B225" s="310" t="b">
        <v>0</v>
      </c>
      <c r="C225" s="12" t="s">
        <v>59</v>
      </c>
      <c r="D225" s="18"/>
      <c r="E225" s="154" t="s">
        <v>205</v>
      </c>
      <c r="F225" s="26"/>
      <c r="G225" s="38"/>
      <c r="H225" s="26" t="s">
        <v>70</v>
      </c>
      <c r="I225" s="12"/>
      <c r="J225" s="12"/>
      <c r="K225" s="242"/>
      <c r="L225" s="245"/>
      <c r="M225" s="25"/>
      <c r="N225" s="31"/>
      <c r="O225" s="32"/>
      <c r="P225" s="32"/>
      <c r="Q225" s="33"/>
    </row>
    <row r="226" spans="1:17" ht="33.75" customHeight="1">
      <c r="A226" s="16">
        <v>146</v>
      </c>
      <c r="B226" s="310" t="b">
        <v>0</v>
      </c>
      <c r="C226" s="12" t="s">
        <v>370</v>
      </c>
      <c r="D226" s="18"/>
      <c r="E226" s="154" t="s">
        <v>289</v>
      </c>
      <c r="F226" s="26"/>
      <c r="G226" s="38"/>
      <c r="H226" s="26" t="s">
        <v>70</v>
      </c>
      <c r="I226" s="12"/>
      <c r="J226" s="12"/>
      <c r="K226" s="242"/>
      <c r="L226" s="245"/>
      <c r="M226" s="25"/>
      <c r="N226" s="31"/>
      <c r="O226" s="32"/>
      <c r="P226" s="32"/>
      <c r="Q226" s="33"/>
    </row>
    <row r="227" spans="1:17" ht="33.75" customHeight="1">
      <c r="A227" s="16">
        <v>150</v>
      </c>
      <c r="B227" s="310" t="b">
        <v>0</v>
      </c>
      <c r="C227" s="12" t="s">
        <v>56</v>
      </c>
      <c r="D227" s="18" t="s">
        <v>375</v>
      </c>
      <c r="E227" s="14" t="s">
        <v>334</v>
      </c>
      <c r="F227" s="26"/>
      <c r="G227" s="38">
        <v>2</v>
      </c>
      <c r="H227" s="26" t="s">
        <v>70</v>
      </c>
      <c r="I227" s="12"/>
      <c r="J227" s="12"/>
      <c r="K227" s="242"/>
      <c r="L227" s="245"/>
      <c r="M227" s="25"/>
      <c r="N227" s="31"/>
      <c r="O227" s="32"/>
      <c r="P227" s="32"/>
      <c r="Q227" s="33"/>
    </row>
    <row r="228" spans="1:17" ht="33.75" customHeight="1">
      <c r="A228" s="16">
        <v>151</v>
      </c>
      <c r="B228" s="310" t="b">
        <v>0</v>
      </c>
      <c r="C228" s="12"/>
      <c r="D228" s="18" t="s">
        <v>486</v>
      </c>
      <c r="E228" s="14" t="s">
        <v>188</v>
      </c>
      <c r="F228" s="26"/>
      <c r="G228" s="38">
        <v>1</v>
      </c>
      <c r="H228" s="26" t="s">
        <v>72</v>
      </c>
      <c r="I228" s="12"/>
      <c r="J228" s="12"/>
      <c r="K228" s="242"/>
      <c r="L228" s="245"/>
      <c r="M228" s="25"/>
      <c r="N228" s="28" t="s">
        <v>383</v>
      </c>
      <c r="O228" s="32"/>
      <c r="P228" s="32"/>
      <c r="Q228" s="33"/>
    </row>
    <row r="229" spans="1:17" ht="33.75" customHeight="1">
      <c r="A229" s="16">
        <v>152</v>
      </c>
      <c r="B229" s="310" t="b">
        <v>0</v>
      </c>
      <c r="C229" s="12" t="s">
        <v>55</v>
      </c>
      <c r="D229" s="18"/>
      <c r="E229" s="14" t="s">
        <v>400</v>
      </c>
      <c r="F229" s="26"/>
      <c r="G229" s="38"/>
      <c r="H229" s="26" t="s">
        <v>70</v>
      </c>
      <c r="I229" s="12"/>
      <c r="J229" s="12"/>
      <c r="K229" s="242"/>
      <c r="L229" s="245"/>
      <c r="M229" s="25"/>
      <c r="N229" s="31"/>
      <c r="O229" s="32"/>
      <c r="P229" s="32"/>
      <c r="Q229" s="33"/>
    </row>
    <row r="230" spans="1:17" ht="33.75" customHeight="1">
      <c r="A230" s="16">
        <v>153</v>
      </c>
      <c r="B230" s="310" t="b">
        <v>0</v>
      </c>
      <c r="C230" s="12" t="s">
        <v>56</v>
      </c>
      <c r="D230" s="18"/>
      <c r="E230" s="14" t="s">
        <v>334</v>
      </c>
      <c r="F230" s="26"/>
      <c r="G230" s="38"/>
      <c r="H230" s="26" t="s">
        <v>70</v>
      </c>
      <c r="I230" s="12"/>
      <c r="J230" s="12"/>
      <c r="K230" s="242"/>
      <c r="L230" s="245"/>
      <c r="M230" s="25"/>
      <c r="N230" s="31"/>
      <c r="O230" s="32"/>
      <c r="P230" s="32"/>
      <c r="Q230" s="33"/>
    </row>
    <row r="231" spans="1:17" ht="33.75" customHeight="1">
      <c r="A231" s="16">
        <v>154</v>
      </c>
      <c r="B231" s="310" t="b">
        <v>0</v>
      </c>
      <c r="C231" s="12"/>
      <c r="D231" s="18"/>
      <c r="E231" s="14" t="s">
        <v>188</v>
      </c>
      <c r="F231" s="26"/>
      <c r="G231" s="38"/>
      <c r="H231" s="26" t="s">
        <v>72</v>
      </c>
      <c r="I231" s="12"/>
      <c r="J231" s="12"/>
      <c r="K231" s="242"/>
      <c r="L231" s="245"/>
      <c r="M231" s="25"/>
      <c r="N231" s="28" t="s">
        <v>384</v>
      </c>
      <c r="O231" s="32"/>
      <c r="P231" s="32"/>
      <c r="Q231" s="33"/>
    </row>
    <row r="232" spans="1:17" ht="33.75" customHeight="1">
      <c r="A232" s="16">
        <v>155</v>
      </c>
      <c r="B232" s="310" t="b">
        <v>0</v>
      </c>
      <c r="C232" s="55"/>
      <c r="D232" s="318" t="s">
        <v>475</v>
      </c>
      <c r="E232" s="154" t="s">
        <v>262</v>
      </c>
      <c r="F232" s="40"/>
      <c r="G232" s="38">
        <v>9</v>
      </c>
      <c r="H232" s="40" t="s">
        <v>72</v>
      </c>
      <c r="I232" s="55"/>
      <c r="J232" s="55"/>
      <c r="K232" s="243"/>
      <c r="L232" s="246"/>
      <c r="M232" s="180"/>
      <c r="N232" s="160"/>
      <c r="O232" s="161"/>
      <c r="P232" s="161"/>
      <c r="Q232" s="162"/>
    </row>
    <row r="233" spans="1:17" ht="33.75" customHeight="1">
      <c r="A233" s="16">
        <v>156</v>
      </c>
      <c r="B233" s="310" t="b">
        <v>0</v>
      </c>
      <c r="C233" s="12"/>
      <c r="D233" s="18"/>
      <c r="E233" s="154" t="s">
        <v>264</v>
      </c>
      <c r="F233" s="40"/>
      <c r="G233" s="38"/>
      <c r="H233" s="26" t="s">
        <v>70</v>
      </c>
      <c r="I233" s="12"/>
      <c r="J233" s="12"/>
      <c r="K233" s="242"/>
      <c r="L233" s="245"/>
      <c r="M233" s="25"/>
      <c r="N233" s="28" t="s">
        <v>62</v>
      </c>
      <c r="O233" s="29"/>
      <c r="P233" s="29"/>
      <c r="Q233" s="30"/>
    </row>
    <row r="234" spans="1:17" ht="33.75" customHeight="1">
      <c r="A234" s="16">
        <v>157</v>
      </c>
      <c r="B234" s="310" t="b">
        <v>0</v>
      </c>
      <c r="C234" s="12" t="s">
        <v>37</v>
      </c>
      <c r="D234" s="18"/>
      <c r="E234" s="154" t="s">
        <v>265</v>
      </c>
      <c r="F234" s="40"/>
      <c r="G234" s="38"/>
      <c r="H234" s="26" t="s">
        <v>70</v>
      </c>
      <c r="I234" s="12"/>
      <c r="J234" s="12"/>
      <c r="K234" s="242"/>
      <c r="L234" s="245"/>
      <c r="M234" s="25"/>
      <c r="N234" s="28" t="s">
        <v>62</v>
      </c>
      <c r="O234" s="29"/>
      <c r="P234" s="29"/>
      <c r="Q234" s="30"/>
    </row>
    <row r="235" spans="1:17" ht="33.75" customHeight="1">
      <c r="A235" s="16">
        <v>158</v>
      </c>
      <c r="B235" s="310" t="b">
        <v>0</v>
      </c>
      <c r="C235" s="12"/>
      <c r="D235" s="18"/>
      <c r="E235" s="154" t="s">
        <v>266</v>
      </c>
      <c r="F235" s="40"/>
      <c r="G235" s="38"/>
      <c r="H235" s="26" t="s">
        <v>70</v>
      </c>
      <c r="I235" s="12"/>
      <c r="J235" s="12"/>
      <c r="K235" s="242"/>
      <c r="L235" s="245"/>
      <c r="M235" s="25"/>
      <c r="N235" s="28" t="s">
        <v>62</v>
      </c>
      <c r="O235" s="29"/>
      <c r="P235" s="29"/>
      <c r="Q235" s="30"/>
    </row>
    <row r="236" spans="1:17" ht="33.75" customHeight="1">
      <c r="A236" s="16">
        <v>159</v>
      </c>
      <c r="B236" s="310" t="b">
        <v>0</v>
      </c>
      <c r="C236" s="12" t="s">
        <v>435</v>
      </c>
      <c r="D236" s="18" t="s">
        <v>492</v>
      </c>
      <c r="E236" s="154" t="s">
        <v>267</v>
      </c>
      <c r="F236" s="40"/>
      <c r="G236" s="38">
        <v>3</v>
      </c>
      <c r="H236" s="26" t="s">
        <v>70</v>
      </c>
      <c r="I236" s="12"/>
      <c r="J236" s="12"/>
      <c r="K236" s="242"/>
      <c r="L236" s="245"/>
      <c r="M236" s="25"/>
      <c r="N236" s="28" t="s">
        <v>62</v>
      </c>
      <c r="O236" s="29"/>
      <c r="P236" s="29"/>
      <c r="Q236" s="30"/>
    </row>
    <row r="237" spans="1:17" ht="33.75" customHeight="1">
      <c r="A237" s="16">
        <v>160</v>
      </c>
      <c r="B237" s="310" t="b">
        <v>0</v>
      </c>
      <c r="C237" s="12" t="s">
        <v>491</v>
      </c>
      <c r="D237" s="18" t="s">
        <v>493</v>
      </c>
      <c r="E237" s="154" t="s">
        <v>267</v>
      </c>
      <c r="F237" s="40"/>
      <c r="G237" s="38">
        <v>4</v>
      </c>
      <c r="H237" s="26" t="s">
        <v>70</v>
      </c>
      <c r="I237" s="12"/>
      <c r="J237" s="12"/>
      <c r="K237" s="242"/>
      <c r="L237" s="245"/>
      <c r="M237" s="25"/>
      <c r="N237" s="28"/>
      <c r="O237" s="29"/>
      <c r="P237" s="29"/>
      <c r="Q237" s="30"/>
    </row>
    <row r="238" spans="1:17" ht="33.75" customHeight="1">
      <c r="A238" s="16">
        <v>161</v>
      </c>
      <c r="B238" s="310" t="b">
        <v>0</v>
      </c>
      <c r="C238" s="12"/>
      <c r="D238" s="18"/>
      <c r="E238" s="154" t="s">
        <v>268</v>
      </c>
      <c r="F238" s="40"/>
      <c r="G238" s="38"/>
      <c r="H238" s="26" t="s">
        <v>70</v>
      </c>
      <c r="I238" s="12"/>
      <c r="J238" s="12"/>
      <c r="K238" s="242"/>
      <c r="L238" s="245"/>
      <c r="M238" s="25"/>
      <c r="N238" s="28" t="s">
        <v>62</v>
      </c>
      <c r="O238" s="29"/>
      <c r="P238" s="29"/>
      <c r="Q238" s="30"/>
    </row>
    <row r="239" spans="1:17" ht="33.75" customHeight="1">
      <c r="A239" s="16">
        <v>162</v>
      </c>
      <c r="B239" s="310" t="b">
        <v>0</v>
      </c>
      <c r="C239" s="12"/>
      <c r="D239" s="18"/>
      <c r="E239" s="154" t="s">
        <v>269</v>
      </c>
      <c r="F239" s="40"/>
      <c r="G239" s="38"/>
      <c r="H239" s="26" t="s">
        <v>70</v>
      </c>
      <c r="I239" s="12"/>
      <c r="J239" s="12"/>
      <c r="K239" s="242"/>
      <c r="L239" s="245"/>
      <c r="M239" s="25"/>
      <c r="N239" s="28" t="s">
        <v>62</v>
      </c>
      <c r="O239" s="29"/>
      <c r="P239" s="29"/>
      <c r="Q239" s="30"/>
    </row>
    <row r="240" spans="1:17" ht="33.75" customHeight="1">
      <c r="A240" s="16">
        <v>163</v>
      </c>
      <c r="B240" s="310" t="b">
        <v>0</v>
      </c>
      <c r="C240" s="12"/>
      <c r="D240" s="18"/>
      <c r="E240" s="154" t="s">
        <v>270</v>
      </c>
      <c r="F240" s="40"/>
      <c r="G240" s="38"/>
      <c r="H240" s="26" t="s">
        <v>70</v>
      </c>
      <c r="I240" s="12"/>
      <c r="J240" s="12"/>
      <c r="K240" s="242"/>
      <c r="L240" s="245"/>
      <c r="M240" s="25"/>
      <c r="N240" s="28" t="s">
        <v>62</v>
      </c>
      <c r="O240" s="29"/>
      <c r="P240" s="29"/>
      <c r="Q240" s="30"/>
    </row>
    <row r="241" spans="1:17" ht="33.75" customHeight="1">
      <c r="A241" s="16">
        <v>164</v>
      </c>
      <c r="B241" s="310" t="b">
        <v>0</v>
      </c>
      <c r="C241" s="12"/>
      <c r="D241" s="18"/>
      <c r="E241" s="154" t="s">
        <v>271</v>
      </c>
      <c r="F241" s="40"/>
      <c r="G241" s="38"/>
      <c r="H241" s="26" t="s">
        <v>70</v>
      </c>
      <c r="I241" s="12"/>
      <c r="J241" s="12"/>
      <c r="K241" s="242"/>
      <c r="L241" s="245"/>
      <c r="M241" s="25"/>
      <c r="N241" s="28" t="s">
        <v>62</v>
      </c>
      <c r="O241" s="29"/>
      <c r="P241" s="29"/>
      <c r="Q241" s="30"/>
    </row>
    <row r="242" spans="1:17" ht="33.75" customHeight="1">
      <c r="A242" s="16">
        <v>165</v>
      </c>
      <c r="B242" s="310" t="b">
        <v>0</v>
      </c>
      <c r="C242" s="12" t="s">
        <v>44</v>
      </c>
      <c r="D242" s="18"/>
      <c r="E242" s="154" t="s">
        <v>272</v>
      </c>
      <c r="F242" s="40"/>
      <c r="G242" s="38"/>
      <c r="H242" s="26" t="s">
        <v>70</v>
      </c>
      <c r="I242" s="12"/>
      <c r="J242" s="12"/>
      <c r="K242" s="242"/>
      <c r="L242" s="245"/>
      <c r="M242" s="25"/>
      <c r="N242" s="28" t="s">
        <v>62</v>
      </c>
      <c r="O242" s="29"/>
      <c r="P242" s="29"/>
      <c r="Q242" s="30"/>
    </row>
    <row r="243" spans="1:17" ht="33.75" customHeight="1">
      <c r="A243" s="16">
        <v>167</v>
      </c>
      <c r="B243" s="310" t="b">
        <v>0</v>
      </c>
      <c r="C243" s="12"/>
      <c r="D243" s="18"/>
      <c r="E243" s="322" t="s">
        <v>276</v>
      </c>
      <c r="F243" s="40"/>
      <c r="G243" s="38"/>
      <c r="H243" s="26" t="s">
        <v>72</v>
      </c>
      <c r="I243" s="12"/>
      <c r="J243" s="12"/>
      <c r="K243" s="242"/>
      <c r="L243" s="245"/>
      <c r="M243" s="25"/>
      <c r="N243" s="28" t="s">
        <v>62</v>
      </c>
      <c r="O243" s="29"/>
      <c r="P243" s="29"/>
      <c r="Q243" s="30"/>
    </row>
    <row r="244" spans="1:17" ht="33.75" customHeight="1">
      <c r="A244" s="16">
        <v>168</v>
      </c>
      <c r="B244" s="310" t="b">
        <v>0</v>
      </c>
      <c r="C244" s="12"/>
      <c r="D244" s="18"/>
      <c r="E244" s="154" t="s">
        <v>277</v>
      </c>
      <c r="F244" s="40"/>
      <c r="G244" s="38"/>
      <c r="H244" s="26" t="s">
        <v>70</v>
      </c>
      <c r="I244" s="13"/>
      <c r="J244" s="12"/>
      <c r="K244" s="242"/>
      <c r="L244" s="245"/>
      <c r="M244" s="25"/>
      <c r="N244" s="31"/>
      <c r="O244" s="32"/>
      <c r="P244" s="32"/>
      <c r="Q244" s="33"/>
    </row>
    <row r="245" spans="1:17" ht="33.75" customHeight="1">
      <c r="A245" s="16">
        <v>169</v>
      </c>
      <c r="B245" s="310" t="b">
        <v>0</v>
      </c>
      <c r="C245" s="12" t="s">
        <v>46</v>
      </c>
      <c r="D245" s="18"/>
      <c r="E245" s="154" t="s">
        <v>279</v>
      </c>
      <c r="F245" s="40"/>
      <c r="G245" s="38"/>
      <c r="H245" s="26" t="s">
        <v>70</v>
      </c>
      <c r="I245" s="12"/>
      <c r="J245" s="12"/>
      <c r="K245" s="242"/>
      <c r="L245" s="245"/>
      <c r="M245" s="25"/>
      <c r="N245" s="31"/>
      <c r="O245" s="32"/>
      <c r="P245" s="32"/>
      <c r="Q245" s="33"/>
    </row>
    <row r="246" spans="1:17" ht="33.75" customHeight="1">
      <c r="A246" s="16">
        <v>170</v>
      </c>
      <c r="B246" s="310" t="b">
        <v>0</v>
      </c>
      <c r="C246" s="12" t="s">
        <v>47</v>
      </c>
      <c r="D246" s="18"/>
      <c r="E246" s="154" t="s">
        <v>280</v>
      </c>
      <c r="F246" s="40"/>
      <c r="G246" s="38"/>
      <c r="H246" s="26" t="s">
        <v>70</v>
      </c>
      <c r="I246" s="12"/>
      <c r="J246" s="12"/>
      <c r="K246" s="242"/>
      <c r="L246" s="245"/>
      <c r="M246" s="25"/>
      <c r="N246" s="31"/>
      <c r="O246" s="32"/>
      <c r="P246" s="32"/>
      <c r="Q246" s="33"/>
    </row>
    <row r="247" spans="1:17" ht="33.75" customHeight="1">
      <c r="A247" s="16">
        <v>171</v>
      </c>
      <c r="B247" s="310" t="b">
        <v>0</v>
      </c>
      <c r="C247" s="12" t="s">
        <v>31</v>
      </c>
      <c r="D247" s="18"/>
      <c r="E247" s="154" t="s">
        <v>285</v>
      </c>
      <c r="F247" s="40"/>
      <c r="G247" s="38"/>
      <c r="H247" s="26" t="s">
        <v>70</v>
      </c>
      <c r="I247" s="12"/>
      <c r="J247" s="12"/>
      <c r="K247" s="242"/>
      <c r="L247" s="245"/>
      <c r="M247" s="25"/>
      <c r="N247" s="31"/>
      <c r="O247" s="32"/>
      <c r="P247" s="32"/>
      <c r="Q247" s="33"/>
    </row>
    <row r="248" spans="1:17" ht="33.75" customHeight="1">
      <c r="A248" s="16">
        <v>172</v>
      </c>
      <c r="B248" s="310" t="b">
        <v>0</v>
      </c>
      <c r="C248" s="12" t="s">
        <v>54</v>
      </c>
      <c r="D248" s="18"/>
      <c r="E248" s="154" t="s">
        <v>286</v>
      </c>
      <c r="F248" s="40"/>
      <c r="G248" s="38"/>
      <c r="H248" s="26" t="s">
        <v>70</v>
      </c>
      <c r="I248" s="12"/>
      <c r="J248" s="12"/>
      <c r="K248" s="242"/>
      <c r="L248" s="245"/>
      <c r="M248" s="25"/>
      <c r="N248" s="31"/>
      <c r="O248" s="32"/>
      <c r="P248" s="32"/>
      <c r="Q248" s="33"/>
    </row>
    <row r="249" spans="1:17" ht="33.75" customHeight="1">
      <c r="A249" s="16">
        <v>173</v>
      </c>
      <c r="B249" s="310" t="b">
        <v>0</v>
      </c>
      <c r="C249" s="12"/>
      <c r="D249" s="18"/>
      <c r="E249" s="154" t="s">
        <v>290</v>
      </c>
      <c r="F249" s="40"/>
      <c r="G249" s="38"/>
      <c r="H249" s="26" t="s">
        <v>70</v>
      </c>
      <c r="I249" s="12"/>
      <c r="J249" s="12"/>
      <c r="K249" s="242"/>
      <c r="L249" s="245"/>
      <c r="M249" s="25"/>
      <c r="N249" s="28" t="s">
        <v>62</v>
      </c>
      <c r="O249" s="32" t="s">
        <v>62</v>
      </c>
      <c r="P249" s="32" t="s">
        <v>62</v>
      </c>
      <c r="Q249" s="33" t="s">
        <v>62</v>
      </c>
    </row>
    <row r="250" spans="1:17" ht="33.75" customHeight="1">
      <c r="A250" s="16">
        <v>174</v>
      </c>
      <c r="B250" s="310" t="b">
        <v>0</v>
      </c>
      <c r="C250" s="12"/>
      <c r="D250" s="18"/>
      <c r="E250" s="154" t="s">
        <v>207</v>
      </c>
      <c r="F250" s="40"/>
      <c r="G250" s="38"/>
      <c r="H250" s="40" t="s">
        <v>70</v>
      </c>
      <c r="I250" s="12"/>
      <c r="J250" s="12"/>
      <c r="K250" s="242"/>
      <c r="L250" s="245"/>
      <c r="M250" s="25"/>
      <c r="N250" s="31"/>
      <c r="O250" s="32"/>
      <c r="P250" s="32"/>
      <c r="Q250" s="33"/>
    </row>
    <row r="251" spans="1:17" ht="33.75" customHeight="1">
      <c r="A251" s="16">
        <v>175</v>
      </c>
      <c r="B251" s="310" t="b">
        <v>0</v>
      </c>
      <c r="C251" s="12"/>
      <c r="D251" s="18"/>
      <c r="E251" s="154" t="s">
        <v>207</v>
      </c>
      <c r="F251" s="40"/>
      <c r="G251" s="38"/>
      <c r="H251" s="40" t="s">
        <v>70</v>
      </c>
      <c r="I251" s="12"/>
      <c r="J251" s="12"/>
      <c r="K251" s="242"/>
      <c r="L251" s="245"/>
      <c r="M251" s="25"/>
      <c r="N251" s="31"/>
      <c r="O251" s="32"/>
      <c r="P251" s="32"/>
      <c r="Q251" s="33"/>
    </row>
    <row r="252" spans="1:17" ht="33.75" customHeight="1">
      <c r="A252" s="16">
        <v>176</v>
      </c>
      <c r="B252" s="310" t="b">
        <v>0</v>
      </c>
      <c r="C252" s="12"/>
      <c r="D252" s="18"/>
      <c r="E252" s="154" t="s">
        <v>292</v>
      </c>
      <c r="F252" s="40"/>
      <c r="G252" s="38"/>
      <c r="H252" s="40" t="s">
        <v>70</v>
      </c>
      <c r="I252" s="12"/>
      <c r="J252" s="12"/>
      <c r="K252" s="242"/>
      <c r="L252" s="245"/>
      <c r="M252" s="25"/>
      <c r="N252" s="31"/>
      <c r="O252" s="32"/>
      <c r="P252" s="32"/>
      <c r="Q252" s="33"/>
    </row>
    <row r="253" spans="1:17" ht="33.75" customHeight="1">
      <c r="A253" s="16">
        <v>177</v>
      </c>
      <c r="B253" s="310" t="b">
        <v>0</v>
      </c>
      <c r="C253" s="12"/>
      <c r="D253" s="18"/>
      <c r="E253" s="321" t="s">
        <v>294</v>
      </c>
      <c r="F253" s="40"/>
      <c r="G253" s="38"/>
      <c r="H253" s="40" t="s">
        <v>70</v>
      </c>
      <c r="I253" s="12"/>
      <c r="J253" s="12"/>
      <c r="K253" s="242"/>
      <c r="L253" s="245"/>
      <c r="M253" s="25"/>
      <c r="N253" s="28" t="s">
        <v>62</v>
      </c>
      <c r="O253" s="29"/>
      <c r="P253" s="29"/>
      <c r="Q253" s="30"/>
    </row>
    <row r="254" spans="1:17" ht="33.75" customHeight="1">
      <c r="A254" s="16">
        <v>178</v>
      </c>
      <c r="B254" s="310" t="b">
        <v>0</v>
      </c>
      <c r="C254" s="12"/>
      <c r="D254" s="18"/>
      <c r="E254" s="154" t="s">
        <v>295</v>
      </c>
      <c r="F254" s="40"/>
      <c r="G254" s="38"/>
      <c r="H254" s="40" t="s">
        <v>70</v>
      </c>
      <c r="I254" s="12"/>
      <c r="J254" s="12"/>
      <c r="K254" s="242"/>
      <c r="L254" s="245"/>
      <c r="M254" s="25"/>
      <c r="N254" s="31"/>
      <c r="O254" s="32"/>
      <c r="P254" s="32"/>
      <c r="Q254" s="33"/>
    </row>
    <row r="255" spans="1:17" ht="33.75" customHeight="1">
      <c r="A255" s="16">
        <v>179</v>
      </c>
      <c r="B255" s="310" t="b">
        <v>0</v>
      </c>
      <c r="C255" s="12"/>
      <c r="D255" s="18"/>
      <c r="E255" s="154" t="s">
        <v>297</v>
      </c>
      <c r="F255" s="40"/>
      <c r="G255" s="38"/>
      <c r="H255" s="26" t="s">
        <v>70</v>
      </c>
      <c r="I255" s="12"/>
      <c r="J255" s="12"/>
      <c r="K255" s="242"/>
      <c r="L255" s="245"/>
      <c r="M255" s="25"/>
      <c r="N255" s="31"/>
      <c r="O255" s="32"/>
      <c r="P255" s="32"/>
      <c r="Q255" s="33"/>
    </row>
    <row r="256" spans="1:17" ht="33.75" customHeight="1">
      <c r="A256" s="16">
        <v>180</v>
      </c>
      <c r="B256" s="310" t="b">
        <v>0</v>
      </c>
      <c r="C256" s="12"/>
      <c r="D256" s="18"/>
      <c r="E256" s="154" t="s">
        <v>298</v>
      </c>
      <c r="F256" s="40"/>
      <c r="G256" s="38"/>
      <c r="H256" s="26" t="s">
        <v>70</v>
      </c>
      <c r="I256" s="12"/>
      <c r="J256" s="12"/>
      <c r="K256" s="242"/>
      <c r="L256" s="245"/>
      <c r="M256" s="25"/>
      <c r="N256" s="31"/>
      <c r="O256" s="32"/>
      <c r="P256" s="32"/>
      <c r="Q256" s="33"/>
    </row>
    <row r="257" spans="1:17" ht="33.75" customHeight="1">
      <c r="A257" s="16">
        <v>181</v>
      </c>
      <c r="B257" s="310" t="b">
        <v>0</v>
      </c>
      <c r="C257" s="12"/>
      <c r="D257" s="18"/>
      <c r="E257" s="154" t="s">
        <v>300</v>
      </c>
      <c r="F257" s="40"/>
      <c r="G257" s="38"/>
      <c r="H257" s="26" t="s">
        <v>70</v>
      </c>
      <c r="I257" s="12"/>
      <c r="J257" s="12"/>
      <c r="K257" s="242"/>
      <c r="L257" s="245"/>
      <c r="M257" s="25"/>
      <c r="N257" s="31"/>
      <c r="O257" s="32"/>
      <c r="P257" s="32"/>
      <c r="Q257" s="33"/>
    </row>
    <row r="258" spans="1:17" s="241" customFormat="1" ht="33.75" customHeight="1">
      <c r="A258" s="16">
        <v>182</v>
      </c>
      <c r="B258" s="310" t="b">
        <v>0</v>
      </c>
      <c r="C258" s="12"/>
      <c r="D258" s="18"/>
      <c r="E258" s="154" t="s">
        <v>301</v>
      </c>
      <c r="F258" s="40"/>
      <c r="G258" s="38"/>
      <c r="H258" s="26" t="s">
        <v>70</v>
      </c>
      <c r="I258" s="12"/>
      <c r="J258" s="12"/>
      <c r="K258" s="242"/>
      <c r="L258" s="245"/>
      <c r="M258" s="25"/>
      <c r="N258" s="31"/>
      <c r="O258" s="32"/>
      <c r="P258" s="32"/>
      <c r="Q258" s="33"/>
    </row>
    <row r="259" spans="1:17" s="241" customFormat="1" ht="33.75" customHeight="1">
      <c r="A259" s="16">
        <v>183</v>
      </c>
      <c r="B259" s="310" t="b">
        <v>0</v>
      </c>
      <c r="C259" s="12"/>
      <c r="D259" s="18"/>
      <c r="E259" s="154" t="s">
        <v>303</v>
      </c>
      <c r="F259" s="12"/>
      <c r="G259" s="38"/>
      <c r="H259" s="26" t="s">
        <v>70</v>
      </c>
      <c r="I259" s="12"/>
      <c r="J259" s="12"/>
      <c r="K259" s="242"/>
      <c r="L259" s="245"/>
      <c r="M259" s="25"/>
      <c r="N259" s="31"/>
      <c r="O259" s="32"/>
      <c r="P259" s="32"/>
      <c r="Q259" s="33"/>
    </row>
    <row r="260" spans="1:17" s="241" customFormat="1" ht="33.75" customHeight="1">
      <c r="A260" s="16">
        <v>184</v>
      </c>
      <c r="B260" s="310" t="b">
        <v>0</v>
      </c>
      <c r="C260" s="12"/>
      <c r="D260" s="18"/>
      <c r="E260" s="154" t="s">
        <v>311</v>
      </c>
      <c r="F260" s="12"/>
      <c r="G260" s="38"/>
      <c r="H260" s="26" t="s">
        <v>70</v>
      </c>
      <c r="I260" s="12"/>
      <c r="J260" s="12"/>
      <c r="K260" s="242"/>
      <c r="L260" s="245"/>
      <c r="M260" s="25"/>
      <c r="N260" s="31"/>
      <c r="O260" s="32"/>
      <c r="P260" s="32"/>
      <c r="Q260" s="33"/>
    </row>
    <row r="261" spans="1:17" s="241" customFormat="1" ht="33.75" customHeight="1">
      <c r="A261" s="16">
        <v>185</v>
      </c>
      <c r="B261" s="310" t="b">
        <v>0</v>
      </c>
      <c r="C261" s="12"/>
      <c r="D261" s="18"/>
      <c r="E261" s="154" t="s">
        <v>312</v>
      </c>
      <c r="F261" s="12"/>
      <c r="G261" s="38"/>
      <c r="H261" s="26" t="s">
        <v>70</v>
      </c>
      <c r="I261" s="12"/>
      <c r="J261" s="12"/>
      <c r="K261" s="242"/>
      <c r="L261" s="245"/>
      <c r="M261" s="25"/>
      <c r="N261" s="31"/>
      <c r="O261" s="32"/>
      <c r="P261" s="32"/>
      <c r="Q261" s="33"/>
    </row>
    <row r="262" spans="1:17" s="241" customFormat="1" ht="33.75" customHeight="1">
      <c r="A262" s="16">
        <v>187</v>
      </c>
      <c r="B262" s="310" t="b">
        <v>0</v>
      </c>
      <c r="C262" s="12"/>
      <c r="D262" s="18"/>
      <c r="E262" s="154" t="s">
        <v>316</v>
      </c>
      <c r="F262" s="12"/>
      <c r="G262" s="38"/>
      <c r="H262" s="26" t="s">
        <v>70</v>
      </c>
      <c r="I262" s="12"/>
      <c r="J262" s="12"/>
      <c r="K262" s="242"/>
      <c r="L262" s="245"/>
      <c r="M262" s="25"/>
      <c r="N262" s="31"/>
      <c r="O262" s="32"/>
      <c r="P262" s="32"/>
      <c r="Q262" s="33"/>
    </row>
    <row r="263" spans="1:17" s="241" customFormat="1" ht="33.75" customHeight="1">
      <c r="A263" s="16">
        <v>188</v>
      </c>
      <c r="B263" s="310" t="b">
        <v>0</v>
      </c>
      <c r="C263" s="12" t="s">
        <v>61</v>
      </c>
      <c r="D263" s="18"/>
      <c r="E263" s="154" t="s">
        <v>317</v>
      </c>
      <c r="F263" s="12"/>
      <c r="G263" s="38"/>
      <c r="H263" s="26" t="s">
        <v>70</v>
      </c>
      <c r="I263" s="12"/>
      <c r="J263" s="12"/>
      <c r="K263" s="242"/>
      <c r="L263" s="245"/>
      <c r="M263" s="25"/>
      <c r="N263" s="31"/>
      <c r="O263" s="32"/>
      <c r="P263" s="32"/>
      <c r="Q263" s="33"/>
    </row>
    <row r="264" spans="1:17" s="241" customFormat="1" ht="33.75" customHeight="1">
      <c r="A264" s="16">
        <v>189</v>
      </c>
      <c r="B264" s="310" t="b">
        <v>0</v>
      </c>
      <c r="C264" s="12"/>
      <c r="D264" s="18"/>
      <c r="E264" s="154" t="s">
        <v>318</v>
      </c>
      <c r="F264" s="12"/>
      <c r="G264" s="38"/>
      <c r="H264" s="26" t="s">
        <v>70</v>
      </c>
      <c r="I264" s="12"/>
      <c r="J264" s="12"/>
      <c r="K264" s="242"/>
      <c r="L264" s="245"/>
      <c r="M264" s="25"/>
      <c r="N264" s="31"/>
      <c r="O264" s="32"/>
      <c r="P264" s="32"/>
      <c r="Q264" s="33"/>
    </row>
    <row r="265" spans="1:17" s="241" customFormat="1" ht="33.75" customHeight="1">
      <c r="A265" s="16">
        <v>190</v>
      </c>
      <c r="B265" s="310" t="b">
        <v>0</v>
      </c>
      <c r="C265" s="12"/>
      <c r="D265" s="18"/>
      <c r="E265" s="169" t="s">
        <v>319</v>
      </c>
      <c r="F265" s="12"/>
      <c r="G265" s="38"/>
      <c r="H265" s="26" t="s">
        <v>70</v>
      </c>
      <c r="I265" s="12"/>
      <c r="J265" s="12"/>
      <c r="K265" s="242"/>
      <c r="L265" s="245"/>
      <c r="M265" s="25"/>
      <c r="N265" s="31"/>
      <c r="O265" s="32"/>
      <c r="P265" s="32"/>
      <c r="Q265" s="33"/>
    </row>
    <row r="266" spans="1:17" s="241" customFormat="1" ht="33.75" customHeight="1">
      <c r="A266" s="16">
        <v>191</v>
      </c>
      <c r="B266" s="310" t="b">
        <v>0</v>
      </c>
      <c r="C266" s="12"/>
      <c r="D266" s="18"/>
      <c r="E266" s="154" t="s">
        <v>322</v>
      </c>
      <c r="F266" s="12"/>
      <c r="G266" s="38"/>
      <c r="H266" s="26" t="s">
        <v>70</v>
      </c>
      <c r="I266" s="12"/>
      <c r="J266" s="12"/>
      <c r="K266" s="242"/>
      <c r="L266" s="245"/>
      <c r="M266" s="25"/>
      <c r="N266" s="31"/>
      <c r="O266" s="32"/>
      <c r="P266" s="32"/>
      <c r="Q266" s="33"/>
    </row>
    <row r="267" spans="1:17" s="241" customFormat="1" ht="33.75" customHeight="1">
      <c r="A267" s="16">
        <v>192</v>
      </c>
      <c r="B267" s="310" t="b">
        <v>0</v>
      </c>
      <c r="C267" s="232" t="s">
        <v>53</v>
      </c>
      <c r="D267" s="233" t="s">
        <v>522</v>
      </c>
      <c r="E267" s="234" t="s">
        <v>284</v>
      </c>
      <c r="F267" s="235"/>
      <c r="G267" s="235">
        <v>3</v>
      </c>
      <c r="H267" s="235" t="s">
        <v>70</v>
      </c>
      <c r="I267" s="232"/>
      <c r="J267" s="232"/>
      <c r="K267" s="242"/>
      <c r="L267" s="245"/>
      <c r="M267" s="236"/>
      <c r="N267" s="240" t="s">
        <v>490</v>
      </c>
      <c r="O267" s="238"/>
      <c r="P267" s="238"/>
      <c r="Q267" s="239"/>
    </row>
    <row r="268" spans="1:17" s="241" customFormat="1" ht="33.75" customHeight="1">
      <c r="A268" s="16">
        <v>193</v>
      </c>
      <c r="B268" s="310" t="b">
        <v>0</v>
      </c>
      <c r="C268" s="232"/>
      <c r="D268" s="233"/>
      <c r="E268" s="234" t="s">
        <v>178</v>
      </c>
      <c r="F268" s="232"/>
      <c r="G268" s="235"/>
      <c r="H268" s="235" t="s">
        <v>70</v>
      </c>
      <c r="I268" s="232"/>
      <c r="J268" s="232"/>
      <c r="K268" s="242"/>
      <c r="L268" s="245"/>
      <c r="M268" s="236"/>
      <c r="N268" s="237"/>
      <c r="O268" s="238"/>
      <c r="P268" s="238"/>
      <c r="Q268" s="239"/>
    </row>
    <row r="269" spans="1:17" ht="33.75" customHeight="1">
      <c r="A269" s="16">
        <v>194</v>
      </c>
      <c r="B269" s="310" t="b">
        <v>0</v>
      </c>
      <c r="C269" s="232"/>
      <c r="D269" s="233"/>
      <c r="E269" s="234" t="s">
        <v>179</v>
      </c>
      <c r="F269" s="232"/>
      <c r="G269" s="235"/>
      <c r="H269" s="235" t="s">
        <v>70</v>
      </c>
      <c r="I269" s="232"/>
      <c r="J269" s="232"/>
      <c r="K269" s="242"/>
      <c r="L269" s="245"/>
      <c r="M269" s="236"/>
      <c r="N269" s="237"/>
      <c r="O269" s="238"/>
      <c r="P269" s="238"/>
      <c r="Q269" s="239"/>
    </row>
    <row r="270" spans="1:17" ht="33.75" customHeight="1">
      <c r="A270" s="16">
        <v>195</v>
      </c>
      <c r="B270" s="310" t="b">
        <v>0</v>
      </c>
      <c r="C270" s="232"/>
      <c r="D270" s="233"/>
      <c r="E270" s="234" t="s">
        <v>281</v>
      </c>
      <c r="F270" s="232"/>
      <c r="G270" s="235"/>
      <c r="H270" s="235" t="s">
        <v>70</v>
      </c>
      <c r="I270" s="232"/>
      <c r="J270" s="232"/>
      <c r="K270" s="242"/>
      <c r="L270" s="245"/>
      <c r="M270" s="236"/>
      <c r="N270" s="237"/>
      <c r="O270" s="238"/>
      <c r="P270" s="238"/>
      <c r="Q270" s="239"/>
    </row>
    <row r="271" spans="1:17" ht="33.75" customHeight="1">
      <c r="A271" s="16">
        <v>196</v>
      </c>
      <c r="B271" s="310" t="b">
        <v>0</v>
      </c>
      <c r="C271" s="232"/>
      <c r="D271" s="233"/>
      <c r="E271" s="234" t="s">
        <v>282</v>
      </c>
      <c r="F271" s="232"/>
      <c r="G271" s="235"/>
      <c r="H271" s="235" t="s">
        <v>70</v>
      </c>
      <c r="I271" s="232"/>
      <c r="J271" s="232"/>
      <c r="K271" s="242"/>
      <c r="L271" s="245"/>
      <c r="M271" s="236"/>
      <c r="N271" s="237"/>
      <c r="O271" s="238"/>
      <c r="P271" s="238"/>
      <c r="Q271" s="239"/>
    </row>
    <row r="272" spans="1:17" ht="33.75" customHeight="1">
      <c r="A272" s="16">
        <v>197</v>
      </c>
      <c r="B272" s="310" t="b">
        <v>0</v>
      </c>
      <c r="C272" s="232"/>
      <c r="D272" s="233"/>
      <c r="E272" s="234" t="s">
        <v>180</v>
      </c>
      <c r="F272" s="232"/>
      <c r="G272" s="235"/>
      <c r="H272" s="235" t="s">
        <v>70</v>
      </c>
      <c r="I272" s="232"/>
      <c r="J272" s="232"/>
      <c r="K272" s="242"/>
      <c r="L272" s="245"/>
      <c r="M272" s="236"/>
      <c r="N272" s="237"/>
      <c r="O272" s="238"/>
      <c r="P272" s="238"/>
      <c r="Q272" s="239"/>
    </row>
    <row r="273" spans="1:17" ht="33.75" customHeight="1">
      <c r="A273" s="16">
        <v>198</v>
      </c>
      <c r="B273" s="310" t="b">
        <v>0</v>
      </c>
      <c r="C273" s="232"/>
      <c r="D273" s="233"/>
      <c r="E273" s="234" t="s">
        <v>198</v>
      </c>
      <c r="F273" s="232"/>
      <c r="G273" s="235"/>
      <c r="H273" s="235" t="s">
        <v>70</v>
      </c>
      <c r="I273" s="232"/>
      <c r="J273" s="232"/>
      <c r="K273" s="242"/>
      <c r="L273" s="245"/>
      <c r="M273" s="236"/>
      <c r="N273" s="237"/>
      <c r="O273" s="238"/>
      <c r="P273" s="238"/>
      <c r="Q273" s="239"/>
    </row>
    <row r="274" spans="1:17" ht="33.75" customHeight="1">
      <c r="A274" s="16">
        <v>199</v>
      </c>
      <c r="B274" s="310" t="b">
        <v>0</v>
      </c>
      <c r="C274" s="232"/>
      <c r="D274" s="233"/>
      <c r="E274" s="234" t="s">
        <v>181</v>
      </c>
      <c r="F274" s="232"/>
      <c r="G274" s="235"/>
      <c r="H274" s="235" t="s">
        <v>70</v>
      </c>
      <c r="I274" s="232"/>
      <c r="J274" s="232"/>
      <c r="K274" s="242"/>
      <c r="L274" s="245"/>
      <c r="M274" s="236"/>
      <c r="N274" s="237"/>
      <c r="O274" s="238"/>
      <c r="P274" s="238"/>
      <c r="Q274" s="239"/>
    </row>
    <row r="275" spans="1:17" ht="33.75" customHeight="1">
      <c r="A275" s="16">
        <v>200</v>
      </c>
      <c r="B275" s="310" t="b">
        <v>0</v>
      </c>
      <c r="C275" s="232"/>
      <c r="D275" s="233"/>
      <c r="E275" s="234" t="s">
        <v>182</v>
      </c>
      <c r="F275" s="232"/>
      <c r="G275" s="235"/>
      <c r="H275" s="235" t="s">
        <v>70</v>
      </c>
      <c r="I275" s="232"/>
      <c r="J275" s="232"/>
      <c r="K275" s="242"/>
      <c r="L275" s="245"/>
      <c r="M275" s="236"/>
      <c r="N275" s="237"/>
      <c r="O275" s="238"/>
      <c r="P275" s="238"/>
      <c r="Q275" s="239"/>
    </row>
    <row r="276" spans="1:17" ht="33.75" customHeight="1">
      <c r="A276" s="16">
        <v>201</v>
      </c>
      <c r="B276" s="310" t="b">
        <v>0</v>
      </c>
      <c r="C276" s="232"/>
      <c r="D276" s="233"/>
      <c r="E276" s="234" t="s">
        <v>183</v>
      </c>
      <c r="F276" s="232"/>
      <c r="G276" s="235"/>
      <c r="H276" s="235" t="s">
        <v>70</v>
      </c>
      <c r="I276" s="232"/>
      <c r="J276" s="232"/>
      <c r="K276" s="242"/>
      <c r="L276" s="245"/>
      <c r="M276" s="236"/>
      <c r="N276" s="237"/>
      <c r="O276" s="238"/>
      <c r="P276" s="238"/>
      <c r="Q276" s="239"/>
    </row>
    <row r="277" spans="1:17" ht="33.75" customHeight="1">
      <c r="A277" s="16">
        <v>202</v>
      </c>
      <c r="B277" s="310" t="b">
        <v>0</v>
      </c>
      <c r="C277" s="232"/>
      <c r="D277" s="233"/>
      <c r="E277" s="234" t="s">
        <v>184</v>
      </c>
      <c r="F277" s="232"/>
      <c r="G277" s="235"/>
      <c r="H277" s="235" t="s">
        <v>70</v>
      </c>
      <c r="I277" s="232"/>
      <c r="J277" s="232"/>
      <c r="K277" s="242"/>
      <c r="L277" s="245"/>
      <c r="M277" s="236"/>
      <c r="N277" s="237"/>
      <c r="O277" s="238"/>
      <c r="P277" s="238"/>
      <c r="Q277" s="239"/>
    </row>
    <row r="278" spans="1:17" ht="33.75" customHeight="1">
      <c r="A278" s="16">
        <v>203</v>
      </c>
      <c r="B278" s="310" t="b">
        <v>0</v>
      </c>
      <c r="C278" s="12" t="s">
        <v>40</v>
      </c>
      <c r="D278" s="18"/>
      <c r="E278" s="56" t="s">
        <v>177</v>
      </c>
      <c r="F278" s="12"/>
      <c r="G278" s="38"/>
      <c r="H278" s="26" t="s">
        <v>70</v>
      </c>
      <c r="I278" s="12"/>
      <c r="J278" s="12"/>
      <c r="K278" s="242"/>
      <c r="L278" s="245"/>
      <c r="M278" s="25"/>
      <c r="N278" s="31"/>
      <c r="O278" s="32"/>
      <c r="P278" s="32"/>
      <c r="Q278" s="33"/>
    </row>
    <row r="279" spans="1:17" ht="33.75" customHeight="1">
      <c r="A279" s="16">
        <v>204</v>
      </c>
      <c r="B279" s="310" t="b">
        <v>0</v>
      </c>
      <c r="C279" s="12"/>
      <c r="D279" s="18"/>
      <c r="E279" s="14" t="s">
        <v>195</v>
      </c>
      <c r="F279" s="12"/>
      <c r="G279" s="38"/>
      <c r="H279" s="26" t="s">
        <v>70</v>
      </c>
      <c r="I279" s="12"/>
      <c r="J279" s="12"/>
      <c r="K279" s="242"/>
      <c r="L279" s="245"/>
      <c r="M279" s="25"/>
      <c r="N279" s="31"/>
      <c r="O279" s="32"/>
      <c r="P279" s="32"/>
      <c r="Q279" s="33"/>
    </row>
    <row r="280" spans="1:17" ht="33.75" customHeight="1">
      <c r="A280" s="16">
        <v>205</v>
      </c>
      <c r="B280" s="310" t="b">
        <v>0</v>
      </c>
      <c r="C280" s="12"/>
      <c r="D280" s="18"/>
      <c r="E280" s="14" t="s">
        <v>178</v>
      </c>
      <c r="F280" s="12"/>
      <c r="G280" s="38"/>
      <c r="H280" s="26" t="s">
        <v>70</v>
      </c>
      <c r="I280" s="12"/>
      <c r="J280" s="12"/>
      <c r="K280" s="242"/>
      <c r="L280" s="245"/>
      <c r="M280" s="25"/>
      <c r="N280" s="31"/>
      <c r="O280" s="32"/>
      <c r="P280" s="32"/>
      <c r="Q280" s="33"/>
    </row>
    <row r="281" spans="1:17" ht="33.75" customHeight="1">
      <c r="A281" s="16">
        <v>206</v>
      </c>
      <c r="B281" s="310" t="b">
        <v>0</v>
      </c>
      <c r="C281" s="12"/>
      <c r="D281" s="18"/>
      <c r="E281" s="14" t="s">
        <v>179</v>
      </c>
      <c r="F281" s="12"/>
      <c r="G281" s="38"/>
      <c r="H281" s="26" t="s">
        <v>70</v>
      </c>
      <c r="I281" s="12"/>
      <c r="J281" s="12"/>
      <c r="K281" s="242"/>
      <c r="L281" s="245"/>
      <c r="M281" s="25"/>
      <c r="N281" s="31"/>
      <c r="O281" s="32"/>
      <c r="P281" s="32"/>
      <c r="Q281" s="33"/>
    </row>
    <row r="282" spans="1:17" ht="33.75" customHeight="1">
      <c r="A282" s="16">
        <v>207</v>
      </c>
      <c r="B282" s="310" t="b">
        <v>0</v>
      </c>
      <c r="C282" s="12"/>
      <c r="D282" s="18"/>
      <c r="E282" s="14" t="s">
        <v>180</v>
      </c>
      <c r="F282" s="12"/>
      <c r="G282" s="38"/>
      <c r="H282" s="26" t="s">
        <v>70</v>
      </c>
      <c r="I282" s="12"/>
      <c r="J282" s="12"/>
      <c r="K282" s="242"/>
      <c r="L282" s="245"/>
      <c r="M282" s="25"/>
      <c r="N282" s="31"/>
      <c r="O282" s="32"/>
      <c r="P282" s="32"/>
      <c r="Q282" s="33"/>
    </row>
    <row r="283" spans="1:17" ht="33.75" customHeight="1">
      <c r="A283" s="16">
        <v>208</v>
      </c>
      <c r="B283" s="310" t="b">
        <v>0</v>
      </c>
      <c r="C283" s="12"/>
      <c r="D283" s="18"/>
      <c r="E283" s="14" t="s">
        <v>181</v>
      </c>
      <c r="F283" s="12"/>
      <c r="G283" s="38"/>
      <c r="H283" s="26" t="s">
        <v>70</v>
      </c>
      <c r="I283" s="12"/>
      <c r="J283" s="12"/>
      <c r="K283" s="242"/>
      <c r="L283" s="245"/>
      <c r="M283" s="25"/>
      <c r="N283" s="31"/>
      <c r="O283" s="32"/>
      <c r="P283" s="32"/>
      <c r="Q283" s="33"/>
    </row>
    <row r="284" spans="1:17" ht="33.75" customHeight="1">
      <c r="A284" s="16">
        <v>209</v>
      </c>
      <c r="B284" s="310" t="b">
        <v>0</v>
      </c>
      <c r="C284" s="12"/>
      <c r="D284" s="18"/>
      <c r="E284" s="14" t="s">
        <v>182</v>
      </c>
      <c r="F284" s="12"/>
      <c r="G284" s="38"/>
      <c r="H284" s="26" t="s">
        <v>70</v>
      </c>
      <c r="I284" s="12"/>
      <c r="J284" s="12"/>
      <c r="K284" s="242"/>
      <c r="L284" s="245"/>
      <c r="M284" s="25"/>
      <c r="N284" s="31"/>
      <c r="O284" s="32"/>
      <c r="P284" s="32"/>
      <c r="Q284" s="33"/>
    </row>
    <row r="285" spans="1:17" ht="33.75" customHeight="1">
      <c r="A285" s="16">
        <v>210</v>
      </c>
      <c r="B285" s="310" t="b">
        <v>0</v>
      </c>
      <c r="C285" s="12"/>
      <c r="D285" s="18"/>
      <c r="E285" s="14" t="s">
        <v>183</v>
      </c>
      <c r="F285" s="12"/>
      <c r="G285" s="38"/>
      <c r="H285" s="26" t="s">
        <v>70</v>
      </c>
      <c r="I285" s="12"/>
      <c r="J285" s="12"/>
      <c r="K285" s="242"/>
      <c r="L285" s="245"/>
      <c r="M285" s="25"/>
      <c r="N285" s="31"/>
      <c r="O285" s="32"/>
      <c r="P285" s="32"/>
      <c r="Q285" s="33"/>
    </row>
    <row r="286" spans="1:17" ht="33.75" customHeight="1">
      <c r="A286" s="16">
        <v>211</v>
      </c>
      <c r="B286" s="310" t="b">
        <v>0</v>
      </c>
      <c r="C286" s="12"/>
      <c r="D286" s="18"/>
      <c r="E286" s="14" t="s">
        <v>184</v>
      </c>
      <c r="F286" s="12"/>
      <c r="G286" s="38"/>
      <c r="H286" s="26" t="s">
        <v>70</v>
      </c>
      <c r="I286" s="12"/>
      <c r="J286" s="12"/>
      <c r="K286" s="242"/>
      <c r="L286" s="245"/>
      <c r="M286" s="25"/>
      <c r="N286" s="31"/>
      <c r="O286" s="32"/>
      <c r="P286" s="32"/>
      <c r="Q286" s="33"/>
    </row>
    <row r="287" spans="1:17" ht="33.75" customHeight="1">
      <c r="A287" s="16">
        <v>212</v>
      </c>
      <c r="B287" s="310" t="b">
        <v>0</v>
      </c>
      <c r="C287" s="12"/>
      <c r="D287" s="18"/>
      <c r="E287" s="14" t="s">
        <v>185</v>
      </c>
      <c r="F287" s="12"/>
      <c r="G287" s="38"/>
      <c r="H287" s="26" t="s">
        <v>70</v>
      </c>
      <c r="I287" s="12"/>
      <c r="J287" s="12"/>
      <c r="K287" s="242"/>
      <c r="L287" s="245"/>
      <c r="M287" s="25"/>
      <c r="N287" s="31"/>
      <c r="O287" s="32"/>
      <c r="P287" s="32"/>
      <c r="Q287" s="33"/>
    </row>
    <row r="288" spans="1:17" ht="33.75" customHeight="1">
      <c r="A288" s="16">
        <v>213</v>
      </c>
      <c r="B288" s="310" t="b">
        <v>0</v>
      </c>
      <c r="C288" s="12"/>
      <c r="D288" s="18"/>
      <c r="E288" s="14" t="s">
        <v>251</v>
      </c>
      <c r="F288" s="12"/>
      <c r="G288" s="38"/>
      <c r="H288" s="26" t="s">
        <v>70</v>
      </c>
      <c r="I288" s="12"/>
      <c r="J288" s="12"/>
      <c r="K288" s="242"/>
      <c r="L288" s="245"/>
      <c r="M288" s="25"/>
      <c r="N288" s="31"/>
      <c r="O288" s="32"/>
      <c r="P288" s="32"/>
      <c r="Q288" s="33"/>
    </row>
    <row r="289" spans="1:17" ht="33.75" customHeight="1">
      <c r="A289" s="16">
        <v>214</v>
      </c>
      <c r="B289" s="310" t="b">
        <v>0</v>
      </c>
      <c r="C289" s="12"/>
      <c r="D289" s="18"/>
      <c r="E289" s="14" t="s">
        <v>257</v>
      </c>
      <c r="F289" s="12"/>
      <c r="G289" s="38"/>
      <c r="H289" s="26" t="s">
        <v>70</v>
      </c>
      <c r="I289" s="12"/>
      <c r="J289" s="12"/>
      <c r="K289" s="242"/>
      <c r="L289" s="245"/>
      <c r="M289" s="25"/>
      <c r="N289" s="31"/>
      <c r="O289" s="32"/>
      <c r="P289" s="32"/>
      <c r="Q289" s="33"/>
    </row>
    <row r="290" spans="1:17" ht="33.75" customHeight="1">
      <c r="A290" s="16">
        <v>215</v>
      </c>
      <c r="B290" s="310" t="b">
        <v>0</v>
      </c>
      <c r="C290" s="12" t="s">
        <v>40</v>
      </c>
      <c r="D290" s="18"/>
      <c r="E290" s="56" t="s">
        <v>256</v>
      </c>
      <c r="F290" s="12"/>
      <c r="G290" s="38"/>
      <c r="H290" s="26" t="s">
        <v>70</v>
      </c>
      <c r="I290" s="12"/>
      <c r="J290" s="12"/>
      <c r="K290" s="242"/>
      <c r="L290" s="245"/>
      <c r="M290" s="25"/>
      <c r="N290" s="31"/>
      <c r="O290" s="32"/>
      <c r="P290" s="32"/>
      <c r="Q290" s="33"/>
    </row>
    <row r="291" spans="1:17" ht="33.75" customHeight="1">
      <c r="A291" s="16">
        <v>216</v>
      </c>
      <c r="B291" s="310" t="b">
        <v>0</v>
      </c>
      <c r="C291" s="12"/>
      <c r="D291" s="18"/>
      <c r="E291" s="14" t="s">
        <v>195</v>
      </c>
      <c r="F291" s="12"/>
      <c r="G291" s="38"/>
      <c r="H291" s="26" t="s">
        <v>70</v>
      </c>
      <c r="I291" s="12"/>
      <c r="J291" s="12"/>
      <c r="K291" s="242"/>
      <c r="L291" s="245"/>
      <c r="M291" s="25"/>
      <c r="N291" s="31"/>
      <c r="O291" s="32"/>
      <c r="P291" s="32"/>
      <c r="Q291" s="33"/>
    </row>
    <row r="292" spans="1:17" ht="33.75" customHeight="1">
      <c r="A292" s="16">
        <v>217</v>
      </c>
      <c r="B292" s="310" t="b">
        <v>0</v>
      </c>
      <c r="C292" s="12"/>
      <c r="D292" s="18"/>
      <c r="E292" s="14" t="s">
        <v>178</v>
      </c>
      <c r="F292" s="12"/>
      <c r="G292" s="38"/>
      <c r="H292" s="26" t="s">
        <v>70</v>
      </c>
      <c r="I292" s="12"/>
      <c r="J292" s="12"/>
      <c r="K292" s="242"/>
      <c r="L292" s="245"/>
      <c r="M292" s="25"/>
      <c r="N292" s="31"/>
      <c r="O292" s="32"/>
      <c r="P292" s="32"/>
      <c r="Q292" s="33"/>
    </row>
    <row r="293" spans="1:17" ht="33.75" customHeight="1">
      <c r="A293" s="16">
        <v>218</v>
      </c>
      <c r="B293" s="310" t="b">
        <v>0</v>
      </c>
      <c r="C293" s="12"/>
      <c r="D293" s="18"/>
      <c r="E293" s="14" t="s">
        <v>179</v>
      </c>
      <c r="F293" s="12"/>
      <c r="G293" s="38"/>
      <c r="H293" s="26" t="s">
        <v>70</v>
      </c>
      <c r="I293" s="12"/>
      <c r="J293" s="12"/>
      <c r="K293" s="242"/>
      <c r="L293" s="245"/>
      <c r="M293" s="25"/>
      <c r="N293" s="31"/>
      <c r="O293" s="32"/>
      <c r="P293" s="32"/>
      <c r="Q293" s="33"/>
    </row>
    <row r="294" spans="1:17" ht="33.75" customHeight="1">
      <c r="A294" s="16">
        <v>219</v>
      </c>
      <c r="B294" s="310" t="b">
        <v>0</v>
      </c>
      <c r="C294" s="12"/>
      <c r="D294" s="18"/>
      <c r="E294" s="14" t="s">
        <v>180</v>
      </c>
      <c r="F294" s="12"/>
      <c r="G294" s="38"/>
      <c r="H294" s="26" t="s">
        <v>70</v>
      </c>
      <c r="I294" s="12"/>
      <c r="J294" s="12"/>
      <c r="K294" s="242"/>
      <c r="L294" s="245"/>
      <c r="M294" s="25"/>
      <c r="N294" s="31"/>
      <c r="O294" s="32"/>
      <c r="P294" s="32"/>
      <c r="Q294" s="33"/>
    </row>
    <row r="295" spans="1:17" ht="33.75" customHeight="1">
      <c r="A295" s="16">
        <v>220</v>
      </c>
      <c r="B295" s="310" t="b">
        <v>0</v>
      </c>
      <c r="C295" s="12"/>
      <c r="D295" s="192"/>
      <c r="E295" s="14" t="s">
        <v>181</v>
      </c>
      <c r="F295" s="12"/>
      <c r="G295" s="38"/>
      <c r="H295" s="26" t="s">
        <v>70</v>
      </c>
      <c r="I295" s="12"/>
      <c r="J295" s="12"/>
      <c r="K295" s="242"/>
      <c r="L295" s="245"/>
      <c r="M295" s="25"/>
      <c r="N295" s="31"/>
      <c r="O295" s="32"/>
      <c r="P295" s="32"/>
      <c r="Q295" s="33"/>
    </row>
    <row r="296" spans="1:17" ht="33.75" customHeight="1">
      <c r="A296" s="16">
        <v>221</v>
      </c>
      <c r="B296" s="310" t="b">
        <v>0</v>
      </c>
      <c r="C296" s="12"/>
      <c r="D296" s="18"/>
      <c r="E296" s="14" t="s">
        <v>182</v>
      </c>
      <c r="F296" s="12"/>
      <c r="G296" s="38"/>
      <c r="H296" s="26" t="s">
        <v>70</v>
      </c>
      <c r="I296" s="12"/>
      <c r="J296" s="12"/>
      <c r="K296" s="242"/>
      <c r="L296" s="245"/>
      <c r="M296" s="25"/>
      <c r="N296" s="31"/>
      <c r="O296" s="32"/>
      <c r="P296" s="32"/>
      <c r="Q296" s="33"/>
    </row>
    <row r="297" spans="1:17" ht="33.75" customHeight="1">
      <c r="A297" s="16">
        <v>222</v>
      </c>
      <c r="B297" s="310" t="b">
        <v>0</v>
      </c>
      <c r="C297" s="12"/>
      <c r="D297" s="18"/>
      <c r="E297" s="14" t="s">
        <v>183</v>
      </c>
      <c r="F297" s="12"/>
      <c r="G297" s="38"/>
      <c r="H297" s="26" t="s">
        <v>70</v>
      </c>
      <c r="I297" s="12"/>
      <c r="J297" s="12"/>
      <c r="K297" s="242"/>
      <c r="L297" s="245"/>
      <c r="M297" s="25"/>
      <c r="N297" s="31"/>
      <c r="O297" s="32"/>
      <c r="P297" s="32"/>
      <c r="Q297" s="33"/>
    </row>
    <row r="298" spans="1:17" ht="33.75" customHeight="1">
      <c r="A298" s="16">
        <v>223</v>
      </c>
      <c r="B298" s="310" t="b">
        <v>0</v>
      </c>
      <c r="C298" s="12"/>
      <c r="D298" s="18"/>
      <c r="E298" s="14" t="s">
        <v>184</v>
      </c>
      <c r="F298" s="12"/>
      <c r="G298" s="38"/>
      <c r="H298" s="26" t="s">
        <v>70</v>
      </c>
      <c r="I298" s="12"/>
      <c r="J298" s="12"/>
      <c r="K298" s="242"/>
      <c r="L298" s="245"/>
      <c r="M298" s="25"/>
      <c r="N298" s="31"/>
      <c r="O298" s="32"/>
      <c r="P298" s="32"/>
      <c r="Q298" s="33"/>
    </row>
    <row r="299" spans="1:17" ht="33.75" customHeight="1">
      <c r="A299" s="16">
        <v>224</v>
      </c>
      <c r="B299" s="310" t="b">
        <v>0</v>
      </c>
      <c r="C299" s="12"/>
      <c r="D299" s="18"/>
      <c r="E299" s="14" t="s">
        <v>185</v>
      </c>
      <c r="F299" s="12"/>
      <c r="G299" s="38"/>
      <c r="H299" s="26" t="s">
        <v>70</v>
      </c>
      <c r="I299" s="12"/>
      <c r="J299" s="12"/>
      <c r="K299" s="242"/>
      <c r="L299" s="245"/>
      <c r="M299" s="25"/>
      <c r="N299" s="31"/>
      <c r="O299" s="32"/>
      <c r="P299" s="32"/>
      <c r="Q299" s="33"/>
    </row>
    <row r="300" spans="1:17" ht="33.75" customHeight="1">
      <c r="A300" s="16">
        <v>225</v>
      </c>
      <c r="B300" s="310" t="b">
        <v>0</v>
      </c>
      <c r="C300" s="12"/>
      <c r="D300" s="18"/>
      <c r="E300" s="14" t="s">
        <v>251</v>
      </c>
      <c r="F300" s="12"/>
      <c r="G300" s="38"/>
      <c r="H300" s="26" t="s">
        <v>70</v>
      </c>
      <c r="I300" s="12"/>
      <c r="J300" s="12"/>
      <c r="K300" s="242"/>
      <c r="L300" s="245"/>
      <c r="M300" s="25"/>
      <c r="N300" s="31"/>
      <c r="O300" s="32"/>
      <c r="P300" s="32"/>
      <c r="Q300" s="33"/>
    </row>
    <row r="301" spans="1:17" ht="33.75" customHeight="1">
      <c r="A301" s="16">
        <v>226</v>
      </c>
      <c r="B301" s="310" t="b">
        <v>0</v>
      </c>
      <c r="C301" s="12"/>
      <c r="D301" s="18"/>
      <c r="E301" s="14" t="s">
        <v>257</v>
      </c>
      <c r="F301" s="12"/>
      <c r="G301" s="38"/>
      <c r="H301" s="26" t="s">
        <v>70</v>
      </c>
      <c r="I301" s="12"/>
      <c r="J301" s="12"/>
      <c r="K301" s="242"/>
      <c r="L301" s="245"/>
      <c r="M301" s="25"/>
      <c r="N301" s="31"/>
      <c r="O301" s="32"/>
      <c r="P301" s="32"/>
      <c r="Q301" s="33"/>
    </row>
    <row r="302" spans="1:17" ht="33.75" customHeight="1">
      <c r="A302" s="16">
        <v>227</v>
      </c>
      <c r="B302" s="310" t="b">
        <v>0</v>
      </c>
      <c r="C302" s="12"/>
      <c r="D302" s="18"/>
      <c r="E302" s="14" t="s">
        <v>185</v>
      </c>
      <c r="F302" s="12"/>
      <c r="G302" s="38"/>
      <c r="H302" s="26" t="s">
        <v>70</v>
      </c>
      <c r="I302" s="12"/>
      <c r="J302" s="12"/>
      <c r="K302" s="242"/>
      <c r="L302" s="245"/>
      <c r="M302" s="25"/>
      <c r="N302" s="31"/>
      <c r="O302" s="32"/>
      <c r="P302" s="32"/>
      <c r="Q302" s="33"/>
    </row>
    <row r="303" spans="1:17" ht="33.75" customHeight="1">
      <c r="A303" s="16">
        <v>228</v>
      </c>
      <c r="B303" s="310" t="b">
        <v>0</v>
      </c>
      <c r="C303" s="12"/>
      <c r="D303" s="18"/>
      <c r="E303" s="14" t="s">
        <v>292</v>
      </c>
      <c r="F303" s="26"/>
      <c r="G303" s="38"/>
      <c r="H303" s="26" t="s">
        <v>70</v>
      </c>
      <c r="I303" s="12"/>
      <c r="J303" s="12"/>
      <c r="K303" s="242"/>
      <c r="L303" s="245"/>
      <c r="M303" s="25"/>
      <c r="N303" s="28" t="s">
        <v>62</v>
      </c>
      <c r="O303" s="32" t="s">
        <v>62</v>
      </c>
      <c r="P303" s="32" t="s">
        <v>62</v>
      </c>
      <c r="Q303" s="33" t="s">
        <v>62</v>
      </c>
    </row>
    <row r="304" spans="1:17" ht="33.75" customHeight="1">
      <c r="A304" s="16">
        <v>229</v>
      </c>
      <c r="B304" s="310" t="b">
        <v>0</v>
      </c>
      <c r="C304" s="12"/>
      <c r="D304" s="18"/>
      <c r="E304" s="14" t="s">
        <v>292</v>
      </c>
      <c r="F304" s="26"/>
      <c r="G304" s="38"/>
      <c r="H304" s="26" t="s">
        <v>70</v>
      </c>
      <c r="I304" s="12"/>
      <c r="J304" s="12"/>
      <c r="K304" s="242"/>
      <c r="L304" s="245"/>
      <c r="M304" s="25"/>
      <c r="N304" s="31"/>
      <c r="O304" s="32"/>
      <c r="P304" s="32"/>
      <c r="Q304" s="33"/>
    </row>
    <row r="305" spans="1:17" ht="33.75" customHeight="1">
      <c r="A305" s="16">
        <v>230</v>
      </c>
      <c r="B305" s="310" t="b">
        <v>0</v>
      </c>
      <c r="C305" s="12"/>
      <c r="D305" s="18"/>
      <c r="E305" s="14" t="s">
        <v>239</v>
      </c>
      <c r="F305" s="26"/>
      <c r="G305" s="38"/>
      <c r="H305" s="26" t="s">
        <v>70</v>
      </c>
      <c r="I305" s="12"/>
      <c r="J305" s="12"/>
      <c r="K305" s="242"/>
      <c r="L305" s="245"/>
      <c r="M305" s="25"/>
      <c r="N305" s="28" t="s">
        <v>385</v>
      </c>
      <c r="O305" s="32"/>
      <c r="P305" s="32"/>
      <c r="Q305" s="33"/>
    </row>
    <row r="306" spans="1:17" ht="33.75" customHeight="1">
      <c r="A306" s="16">
        <v>231</v>
      </c>
      <c r="B306" s="310" t="b">
        <v>0</v>
      </c>
      <c r="C306" s="12"/>
      <c r="D306" s="18"/>
      <c r="E306" s="14" t="s">
        <v>239</v>
      </c>
      <c r="F306" s="26"/>
      <c r="G306" s="38"/>
      <c r="H306" s="26" t="s">
        <v>70</v>
      </c>
      <c r="I306" s="12"/>
      <c r="J306" s="12"/>
      <c r="K306" s="242"/>
      <c r="L306" s="245"/>
      <c r="M306" s="25"/>
      <c r="N306" s="28" t="s">
        <v>385</v>
      </c>
      <c r="O306" s="32"/>
      <c r="P306" s="32"/>
      <c r="Q306" s="33"/>
    </row>
    <row r="307" spans="1:17" ht="33.75" customHeight="1">
      <c r="A307" s="16">
        <v>232</v>
      </c>
      <c r="B307" s="310" t="b">
        <v>0</v>
      </c>
      <c r="C307" s="12"/>
      <c r="D307" s="18"/>
      <c r="E307" s="14" t="s">
        <v>239</v>
      </c>
      <c r="F307" s="26"/>
      <c r="G307" s="38"/>
      <c r="H307" s="26" t="s">
        <v>70</v>
      </c>
      <c r="I307" s="12"/>
      <c r="J307" s="12"/>
      <c r="K307" s="242"/>
      <c r="L307" s="245"/>
      <c r="M307" s="25"/>
      <c r="N307" s="28" t="s">
        <v>385</v>
      </c>
      <c r="O307" s="32"/>
      <c r="P307" s="32"/>
      <c r="Q307" s="33"/>
    </row>
    <row r="308" spans="1:17" ht="33.75" customHeight="1">
      <c r="A308" s="16">
        <v>234</v>
      </c>
      <c r="B308" s="310" t="b">
        <v>0</v>
      </c>
      <c r="C308" s="12"/>
      <c r="D308" s="18"/>
      <c r="E308" s="14" t="s">
        <v>238</v>
      </c>
      <c r="F308" s="26"/>
      <c r="G308" s="38"/>
      <c r="H308" s="26" t="s">
        <v>72</v>
      </c>
      <c r="I308" s="12"/>
      <c r="J308" s="12"/>
      <c r="K308" s="242"/>
      <c r="L308" s="245"/>
      <c r="M308" s="25"/>
      <c r="N308" s="28" t="s">
        <v>430</v>
      </c>
      <c r="O308" s="32"/>
      <c r="P308" s="32"/>
      <c r="Q308" s="33"/>
    </row>
    <row r="309" spans="1:17" ht="33.75" customHeight="1">
      <c r="A309" s="16">
        <v>235</v>
      </c>
      <c r="B309" s="310" t="b">
        <v>0</v>
      </c>
      <c r="C309" s="12"/>
      <c r="D309" s="17"/>
      <c r="E309" s="14" t="s">
        <v>238</v>
      </c>
      <c r="F309" s="26"/>
      <c r="G309" s="38"/>
      <c r="H309" s="26" t="s">
        <v>72</v>
      </c>
      <c r="I309" s="12"/>
      <c r="J309" s="12"/>
      <c r="K309" s="242"/>
      <c r="L309" s="245"/>
      <c r="M309" s="25"/>
      <c r="N309" s="28" t="s">
        <v>431</v>
      </c>
      <c r="O309" s="32"/>
      <c r="P309" s="32"/>
      <c r="Q309" s="33"/>
    </row>
    <row r="310" spans="1:17" ht="33.75" customHeight="1">
      <c r="A310" s="16">
        <v>236</v>
      </c>
      <c r="B310" s="310" t="b">
        <v>0</v>
      </c>
      <c r="C310" s="12"/>
      <c r="D310" s="18"/>
      <c r="E310" s="14" t="s">
        <v>432</v>
      </c>
      <c r="F310" s="26"/>
      <c r="G310" s="38"/>
      <c r="H310" s="26" t="s">
        <v>72</v>
      </c>
      <c r="I310" s="12"/>
      <c r="J310" s="12"/>
      <c r="K310" s="242"/>
      <c r="L310" s="245"/>
      <c r="M310" s="25"/>
      <c r="N310" s="28" t="s">
        <v>422</v>
      </c>
      <c r="O310" s="32"/>
      <c r="P310" s="32"/>
      <c r="Q310" s="33"/>
    </row>
    <row r="311" spans="1:17" ht="33.75" customHeight="1">
      <c r="A311" s="16">
        <v>237</v>
      </c>
      <c r="B311" s="310" t="b">
        <v>0</v>
      </c>
      <c r="C311" s="12"/>
      <c r="D311" s="18"/>
      <c r="E311" s="14" t="s">
        <v>238</v>
      </c>
      <c r="F311" s="26"/>
      <c r="G311" s="38"/>
      <c r="H311" s="26" t="s">
        <v>70</v>
      </c>
      <c r="I311" s="12"/>
      <c r="J311" s="12"/>
      <c r="K311" s="242"/>
      <c r="L311" s="245"/>
      <c r="M311" s="25"/>
      <c r="N311" s="31"/>
      <c r="O311" s="32"/>
      <c r="P311" s="32"/>
      <c r="Q311" s="33"/>
    </row>
    <row r="312" spans="1:17" ht="33.75" customHeight="1">
      <c r="A312" s="16">
        <v>238</v>
      </c>
      <c r="B312" s="310" t="b">
        <v>0</v>
      </c>
      <c r="C312" s="12"/>
      <c r="D312" s="18"/>
      <c r="E312" s="14" t="s">
        <v>238</v>
      </c>
      <c r="F312" s="26"/>
      <c r="G312" s="38"/>
      <c r="H312" s="26" t="s">
        <v>70</v>
      </c>
      <c r="I312" s="12"/>
      <c r="J312" s="12"/>
      <c r="K312" s="242"/>
      <c r="L312" s="245"/>
      <c r="M312" s="25"/>
      <c r="N312" s="31"/>
      <c r="O312" s="32"/>
      <c r="P312" s="32"/>
      <c r="Q312" s="33"/>
    </row>
    <row r="313" spans="1:17" ht="33.75" customHeight="1">
      <c r="A313" s="16">
        <v>239</v>
      </c>
      <c r="B313" s="310" t="b">
        <v>0</v>
      </c>
      <c r="C313" s="12"/>
      <c r="D313" s="18"/>
      <c r="E313" s="14" t="s">
        <v>433</v>
      </c>
      <c r="F313" s="26"/>
      <c r="G313" s="38"/>
      <c r="H313" s="26" t="s">
        <v>70</v>
      </c>
      <c r="I313" s="12"/>
      <c r="J313" s="12"/>
      <c r="K313" s="242"/>
      <c r="L313" s="245"/>
      <c r="M313" s="25"/>
      <c r="N313" s="31"/>
      <c r="O313" s="32"/>
      <c r="P313" s="32"/>
      <c r="Q313" s="33"/>
    </row>
    <row r="314" spans="1:17" ht="33.75" customHeight="1">
      <c r="A314" s="16">
        <v>240</v>
      </c>
      <c r="B314" s="310" t="b">
        <v>0</v>
      </c>
      <c r="C314" s="12"/>
      <c r="D314" s="18"/>
      <c r="E314" s="14" t="s">
        <v>299</v>
      </c>
      <c r="F314" s="12"/>
      <c r="G314" s="38"/>
      <c r="H314" s="26" t="s">
        <v>70</v>
      </c>
      <c r="I314" s="12"/>
      <c r="J314" s="12"/>
      <c r="K314" s="242"/>
      <c r="L314" s="245"/>
      <c r="M314" s="25"/>
      <c r="N314" s="31"/>
      <c r="O314" s="32"/>
      <c r="P314" s="32"/>
      <c r="Q314" s="33"/>
    </row>
    <row r="315" spans="1:17" ht="33.75" customHeight="1">
      <c r="A315" s="16">
        <v>241</v>
      </c>
      <c r="B315" s="310" t="b">
        <v>0</v>
      </c>
      <c r="C315" s="12"/>
      <c r="D315" s="18"/>
      <c r="E315" s="14" t="s">
        <v>300</v>
      </c>
      <c r="F315" s="12"/>
      <c r="G315" s="38"/>
      <c r="H315" s="26" t="s">
        <v>70</v>
      </c>
      <c r="I315" s="12"/>
      <c r="J315" s="12"/>
      <c r="K315" s="242"/>
      <c r="L315" s="245"/>
      <c r="M315" s="25"/>
      <c r="N315" s="31"/>
      <c r="O315" s="32"/>
      <c r="P315" s="32"/>
      <c r="Q315" s="33"/>
    </row>
    <row r="316" spans="1:17" ht="33.75" customHeight="1">
      <c r="A316" s="16">
        <v>242</v>
      </c>
      <c r="B316" s="310" t="b">
        <v>0</v>
      </c>
      <c r="C316" s="12"/>
      <c r="D316" s="18"/>
      <c r="E316" s="14" t="s">
        <v>301</v>
      </c>
      <c r="F316" s="12"/>
      <c r="G316" s="38"/>
      <c r="H316" s="26" t="s">
        <v>70</v>
      </c>
      <c r="I316" s="12"/>
      <c r="J316" s="12"/>
      <c r="K316" s="242"/>
      <c r="L316" s="245"/>
      <c r="M316" s="25"/>
      <c r="N316" s="31"/>
      <c r="O316" s="32"/>
      <c r="P316" s="32"/>
      <c r="Q316" s="33"/>
    </row>
    <row r="317" spans="1:17" ht="33.75" customHeight="1">
      <c r="A317" s="16">
        <v>243</v>
      </c>
      <c r="B317" s="310" t="b">
        <v>0</v>
      </c>
      <c r="C317" s="12"/>
      <c r="D317" s="18"/>
      <c r="E317" s="14" t="s">
        <v>303</v>
      </c>
      <c r="F317" s="12"/>
      <c r="G317" s="38"/>
      <c r="H317" s="26" t="s">
        <v>70</v>
      </c>
      <c r="I317" s="12"/>
      <c r="J317" s="12"/>
      <c r="K317" s="242"/>
      <c r="L317" s="245"/>
      <c r="M317" s="25"/>
      <c r="N317" s="31"/>
      <c r="O317" s="32"/>
      <c r="P317" s="32"/>
      <c r="Q317" s="33"/>
    </row>
    <row r="318" spans="1:17" ht="33.75" customHeight="1">
      <c r="A318" s="16">
        <v>244</v>
      </c>
      <c r="B318" s="310" t="b">
        <v>0</v>
      </c>
      <c r="C318" s="12"/>
      <c r="D318" s="18"/>
      <c r="E318" s="14" t="s">
        <v>306</v>
      </c>
      <c r="F318" s="26"/>
      <c r="G318" s="38"/>
      <c r="H318" s="26" t="s">
        <v>70</v>
      </c>
      <c r="I318" s="12"/>
      <c r="J318" s="12"/>
      <c r="K318" s="242"/>
      <c r="L318" s="245"/>
      <c r="M318" s="25"/>
      <c r="N318" s="31"/>
      <c r="O318" s="32"/>
      <c r="P318" s="32"/>
      <c r="Q318" s="33"/>
    </row>
    <row r="319" spans="1:17" ht="33.75" customHeight="1">
      <c r="A319" s="16">
        <v>245</v>
      </c>
      <c r="B319" s="310" t="b">
        <v>0</v>
      </c>
      <c r="C319" s="12"/>
      <c r="D319" s="18"/>
      <c r="E319" s="14" t="s">
        <v>208</v>
      </c>
      <c r="F319" s="12"/>
      <c r="G319" s="38"/>
      <c r="H319" s="26" t="s">
        <v>70</v>
      </c>
      <c r="I319" s="12"/>
      <c r="J319" s="12"/>
      <c r="K319" s="242"/>
      <c r="L319" s="245"/>
      <c r="M319" s="25"/>
      <c r="N319" s="28" t="s">
        <v>422</v>
      </c>
      <c r="O319" s="32"/>
      <c r="P319" s="32"/>
      <c r="Q319" s="33"/>
    </row>
    <row r="320" spans="1:17" ht="33.75" customHeight="1">
      <c r="A320" s="16">
        <v>246</v>
      </c>
      <c r="B320" s="310" t="b">
        <v>0</v>
      </c>
      <c r="C320" s="12"/>
      <c r="D320" s="18"/>
      <c r="E320" s="14" t="s">
        <v>307</v>
      </c>
      <c r="F320" s="12"/>
      <c r="G320" s="38"/>
      <c r="H320" s="26" t="s">
        <v>70</v>
      </c>
      <c r="I320" s="12"/>
      <c r="J320" s="12"/>
      <c r="K320" s="242"/>
      <c r="L320" s="245"/>
      <c r="M320" s="25"/>
      <c r="N320" s="31"/>
      <c r="O320" s="32"/>
      <c r="P320" s="32"/>
      <c r="Q320" s="33"/>
    </row>
    <row r="321" spans="1:17" ht="33.75" customHeight="1">
      <c r="A321" s="16">
        <v>247</v>
      </c>
      <c r="B321" s="310" t="b">
        <v>0</v>
      </c>
      <c r="C321" s="12"/>
      <c r="D321" s="18"/>
      <c r="E321" s="14" t="s">
        <v>310</v>
      </c>
      <c r="F321" s="12"/>
      <c r="G321" s="38"/>
      <c r="H321" s="26" t="s">
        <v>70</v>
      </c>
      <c r="I321" s="12"/>
      <c r="J321" s="12"/>
      <c r="K321" s="242"/>
      <c r="L321" s="245"/>
      <c r="M321" s="25"/>
      <c r="N321" s="28" t="s">
        <v>422</v>
      </c>
      <c r="O321" s="32"/>
      <c r="P321" s="32"/>
      <c r="Q321" s="33"/>
    </row>
    <row r="322" spans="1:17" ht="33.75" customHeight="1">
      <c r="A322" s="16">
        <v>248</v>
      </c>
      <c r="B322" s="310" t="b">
        <v>0</v>
      </c>
      <c r="C322" s="12"/>
      <c r="D322" s="18"/>
      <c r="E322" s="14" t="s">
        <v>311</v>
      </c>
      <c r="F322" s="12"/>
      <c r="G322" s="38"/>
      <c r="H322" s="26" t="s">
        <v>70</v>
      </c>
      <c r="I322" s="12"/>
      <c r="J322" s="12"/>
      <c r="K322" s="242"/>
      <c r="L322" s="245"/>
      <c r="M322" s="25"/>
      <c r="N322" s="31"/>
      <c r="O322" s="32"/>
      <c r="P322" s="32"/>
      <c r="Q322" s="33"/>
    </row>
    <row r="323" spans="1:17" ht="33.75" customHeight="1">
      <c r="A323" s="16">
        <v>249</v>
      </c>
      <c r="B323" s="310" t="b">
        <v>0</v>
      </c>
      <c r="C323" s="12"/>
      <c r="D323" s="18"/>
      <c r="E323" s="14" t="s">
        <v>312</v>
      </c>
      <c r="F323" s="12"/>
      <c r="G323" s="38"/>
      <c r="H323" s="26" t="s">
        <v>70</v>
      </c>
      <c r="I323" s="12"/>
      <c r="J323" s="12"/>
      <c r="K323" s="242"/>
      <c r="L323" s="245"/>
      <c r="M323" s="25"/>
      <c r="N323" s="31"/>
      <c r="O323" s="32"/>
      <c r="P323" s="32"/>
      <c r="Q323" s="33"/>
    </row>
    <row r="324" spans="1:17" ht="33.75" customHeight="1">
      <c r="A324" s="16">
        <v>250</v>
      </c>
      <c r="B324" s="310" t="b">
        <v>0</v>
      </c>
      <c r="C324" s="12"/>
      <c r="D324" s="18"/>
      <c r="E324" s="14" t="s">
        <v>313</v>
      </c>
      <c r="F324" s="12"/>
      <c r="G324" s="38"/>
      <c r="H324" s="26" t="s">
        <v>70</v>
      </c>
      <c r="I324" s="12"/>
      <c r="J324" s="12"/>
      <c r="K324" s="242"/>
      <c r="L324" s="245"/>
      <c r="M324" s="25"/>
      <c r="N324" s="31"/>
      <c r="O324" s="32"/>
      <c r="P324" s="32"/>
      <c r="Q324" s="33"/>
    </row>
    <row r="325" spans="1:17" ht="33.75" customHeight="1">
      <c r="A325" s="16">
        <v>251</v>
      </c>
      <c r="B325" s="310" t="b">
        <v>0</v>
      </c>
      <c r="C325" s="12"/>
      <c r="D325" s="18"/>
      <c r="E325" s="14" t="s">
        <v>316</v>
      </c>
      <c r="F325" s="12"/>
      <c r="G325" s="38"/>
      <c r="H325" s="26" t="s">
        <v>70</v>
      </c>
      <c r="I325" s="12"/>
      <c r="J325" s="12"/>
      <c r="K325" s="242"/>
      <c r="L325" s="245"/>
      <c r="M325" s="25"/>
      <c r="N325" s="31"/>
      <c r="O325" s="32"/>
      <c r="P325" s="32"/>
      <c r="Q325" s="33"/>
    </row>
    <row r="326" spans="1:17" ht="33.75" customHeight="1">
      <c r="A326" s="16">
        <v>252</v>
      </c>
      <c r="B326" s="310" t="b">
        <v>0</v>
      </c>
      <c r="C326" s="12" t="s">
        <v>61</v>
      </c>
      <c r="D326" s="18"/>
      <c r="E326" s="14" t="s">
        <v>317</v>
      </c>
      <c r="F326" s="12"/>
      <c r="G326" s="38"/>
      <c r="H326" s="26" t="s">
        <v>70</v>
      </c>
      <c r="I326" s="12"/>
      <c r="J326" s="12"/>
      <c r="K326" s="242"/>
      <c r="L326" s="245"/>
      <c r="M326" s="25"/>
      <c r="N326" s="31"/>
      <c r="O326" s="32"/>
      <c r="P326" s="32"/>
      <c r="Q326" s="33"/>
    </row>
    <row r="327" spans="1:17" ht="33.75" customHeight="1">
      <c r="A327" s="16">
        <v>253</v>
      </c>
      <c r="B327" s="310" t="b">
        <v>0</v>
      </c>
      <c r="C327" s="12"/>
      <c r="D327" s="18"/>
      <c r="E327" s="14" t="s">
        <v>318</v>
      </c>
      <c r="F327" s="12"/>
      <c r="G327" s="38"/>
      <c r="H327" s="26" t="s">
        <v>70</v>
      </c>
      <c r="I327" s="12"/>
      <c r="J327" s="12"/>
      <c r="K327" s="242"/>
      <c r="L327" s="245"/>
      <c r="M327" s="25"/>
      <c r="N327" s="31"/>
      <c r="O327" s="32"/>
      <c r="P327" s="32"/>
      <c r="Q327" s="33"/>
    </row>
    <row r="328" spans="1:17" ht="33.75" customHeight="1">
      <c r="A328" s="16">
        <v>254</v>
      </c>
      <c r="B328" s="310" t="b">
        <v>0</v>
      </c>
      <c r="C328" s="12"/>
      <c r="D328" s="18"/>
      <c r="E328" s="14" t="s">
        <v>319</v>
      </c>
      <c r="F328" s="12"/>
      <c r="G328" s="38"/>
      <c r="H328" s="26" t="s">
        <v>70</v>
      </c>
      <c r="I328" s="12"/>
      <c r="J328" s="12"/>
      <c r="K328" s="242"/>
      <c r="L328" s="245"/>
      <c r="M328" s="25"/>
      <c r="N328" s="31"/>
      <c r="O328" s="32"/>
      <c r="P328" s="32"/>
      <c r="Q328" s="33"/>
    </row>
    <row r="329" spans="1:17" ht="33.75" customHeight="1">
      <c r="A329" s="16">
        <v>255</v>
      </c>
      <c r="B329" s="310" t="b">
        <v>0</v>
      </c>
      <c r="C329" s="12"/>
      <c r="D329" s="18"/>
      <c r="E329" s="14" t="s">
        <v>322</v>
      </c>
      <c r="F329" s="12"/>
      <c r="G329" s="38"/>
      <c r="H329" s="26" t="s">
        <v>70</v>
      </c>
      <c r="I329" s="12"/>
      <c r="J329" s="12"/>
      <c r="K329" s="242"/>
      <c r="L329" s="245"/>
      <c r="M329" s="25"/>
      <c r="N329" s="31"/>
      <c r="O329" s="32"/>
      <c r="P329" s="32"/>
      <c r="Q329" s="33"/>
    </row>
    <row r="330" spans="1:17" ht="33.75" customHeight="1">
      <c r="A330" s="16">
        <v>256</v>
      </c>
      <c r="B330" s="310" t="b">
        <v>0</v>
      </c>
      <c r="C330" s="12"/>
      <c r="D330" s="18"/>
      <c r="E330" s="14" t="s">
        <v>323</v>
      </c>
      <c r="F330" s="12"/>
      <c r="G330" s="38"/>
      <c r="H330" s="26" t="s">
        <v>72</v>
      </c>
      <c r="I330" s="12"/>
      <c r="J330" s="12"/>
      <c r="K330" s="242"/>
      <c r="L330" s="245"/>
      <c r="M330" s="25"/>
      <c r="N330" s="31"/>
      <c r="O330" s="32"/>
      <c r="P330" s="32"/>
      <c r="Q330" s="33"/>
    </row>
    <row r="331" spans="1:17" ht="33.75" customHeight="1">
      <c r="A331" s="16">
        <v>258</v>
      </c>
      <c r="B331" s="310" t="b">
        <v>0</v>
      </c>
      <c r="C331" s="12"/>
      <c r="D331" s="18"/>
      <c r="E331" s="14" t="s">
        <v>327</v>
      </c>
      <c r="F331" s="26"/>
      <c r="G331" s="38"/>
      <c r="H331" s="26" t="s">
        <v>70</v>
      </c>
      <c r="I331" s="12"/>
      <c r="J331" s="12"/>
      <c r="K331" s="242"/>
      <c r="L331" s="245"/>
      <c r="M331" s="25"/>
      <c r="N331" s="31"/>
      <c r="O331" s="32"/>
      <c r="P331" s="32"/>
      <c r="Q331" s="33"/>
    </row>
    <row r="332" spans="1:17" ht="33.75" customHeight="1">
      <c r="A332" s="16">
        <v>259</v>
      </c>
      <c r="B332" s="310" t="b">
        <v>0</v>
      </c>
      <c r="C332" s="12"/>
      <c r="D332" s="18"/>
      <c r="E332" s="14" t="s">
        <v>327</v>
      </c>
      <c r="F332" s="26"/>
      <c r="G332" s="38"/>
      <c r="H332" s="26" t="s">
        <v>70</v>
      </c>
      <c r="I332" s="12"/>
      <c r="J332" s="12"/>
      <c r="K332" s="242"/>
      <c r="L332" s="245"/>
      <c r="M332" s="25"/>
      <c r="N332" s="31"/>
      <c r="O332" s="32"/>
      <c r="P332" s="32"/>
      <c r="Q332" s="33"/>
    </row>
    <row r="333" spans="1:17" ht="33.75" customHeight="1">
      <c r="A333" s="16">
        <v>260</v>
      </c>
      <c r="B333" s="310" t="b">
        <v>0</v>
      </c>
      <c r="C333" s="12"/>
      <c r="D333" s="18"/>
      <c r="E333" s="14" t="s">
        <v>328</v>
      </c>
      <c r="F333" s="26"/>
      <c r="G333" s="38"/>
      <c r="H333" s="26" t="s">
        <v>70</v>
      </c>
      <c r="I333" s="12"/>
      <c r="J333" s="12"/>
      <c r="K333" s="242"/>
      <c r="L333" s="245"/>
      <c r="M333" s="25"/>
      <c r="N333" s="31"/>
      <c r="O333" s="32"/>
      <c r="P333" s="32"/>
      <c r="Q333" s="33"/>
    </row>
    <row r="334" spans="1:17" ht="33.75" customHeight="1">
      <c r="A334" s="16">
        <v>261</v>
      </c>
      <c r="B334" s="310" t="b">
        <v>0</v>
      </c>
      <c r="C334" s="12"/>
      <c r="D334" s="18"/>
      <c r="E334" s="14" t="s">
        <v>329</v>
      </c>
      <c r="F334" s="26"/>
      <c r="G334" s="38"/>
      <c r="H334" s="26" t="s">
        <v>70</v>
      </c>
      <c r="I334" s="12"/>
      <c r="J334" s="12"/>
      <c r="K334" s="242"/>
      <c r="L334" s="245"/>
      <c r="M334" s="25"/>
      <c r="N334" s="31"/>
      <c r="O334" s="32"/>
      <c r="P334" s="32"/>
      <c r="Q334" s="33"/>
    </row>
    <row r="335" spans="1:17" ht="33.75" customHeight="1">
      <c r="A335" s="16">
        <v>262</v>
      </c>
      <c r="B335" s="310" t="b">
        <v>0</v>
      </c>
      <c r="C335" s="12"/>
      <c r="D335" s="18"/>
      <c r="E335" s="14" t="s">
        <v>329</v>
      </c>
      <c r="F335" s="26"/>
      <c r="G335" s="38"/>
      <c r="H335" s="26" t="s">
        <v>70</v>
      </c>
      <c r="I335" s="12"/>
      <c r="J335" s="12"/>
      <c r="K335" s="242"/>
      <c r="L335" s="245"/>
      <c r="M335" s="25"/>
      <c r="N335" s="31"/>
      <c r="O335" s="32"/>
      <c r="P335" s="32"/>
      <c r="Q335" s="33"/>
    </row>
    <row r="336" spans="1:17" ht="33.75" customHeight="1">
      <c r="A336" s="16">
        <v>263</v>
      </c>
      <c r="B336" s="310" t="b">
        <v>0</v>
      </c>
      <c r="C336" s="12"/>
      <c r="D336" s="18"/>
      <c r="E336" s="14" t="s">
        <v>329</v>
      </c>
      <c r="F336" s="26"/>
      <c r="G336" s="38"/>
      <c r="H336" s="26" t="s">
        <v>70</v>
      </c>
      <c r="I336" s="12"/>
      <c r="J336" s="12"/>
      <c r="K336" s="242"/>
      <c r="L336" s="245"/>
      <c r="M336" s="25"/>
      <c r="N336" s="31"/>
      <c r="O336" s="32"/>
      <c r="P336" s="32"/>
      <c r="Q336" s="33"/>
    </row>
    <row r="337" spans="1:17" ht="33.75" customHeight="1">
      <c r="A337" s="16">
        <v>264</v>
      </c>
      <c r="B337" s="310" t="b">
        <v>0</v>
      </c>
      <c r="C337" s="12"/>
      <c r="D337" s="18"/>
      <c r="E337" s="14" t="s">
        <v>329</v>
      </c>
      <c r="F337" s="26"/>
      <c r="G337" s="38"/>
      <c r="H337" s="26" t="s">
        <v>70</v>
      </c>
      <c r="I337" s="12"/>
      <c r="J337" s="12"/>
      <c r="K337" s="242"/>
      <c r="L337" s="245"/>
      <c r="M337" s="25"/>
      <c r="N337" s="31"/>
      <c r="O337" s="32"/>
      <c r="P337" s="32"/>
      <c r="Q337" s="33"/>
    </row>
    <row r="338" spans="1:17" ht="33.75" customHeight="1">
      <c r="A338" s="16">
        <v>265</v>
      </c>
      <c r="B338" s="310" t="b">
        <v>0</v>
      </c>
      <c r="C338" s="12"/>
      <c r="D338" s="18"/>
      <c r="E338" s="14" t="s">
        <v>329</v>
      </c>
      <c r="F338" s="26"/>
      <c r="G338" s="38"/>
      <c r="H338" s="26" t="s">
        <v>70</v>
      </c>
      <c r="I338" s="12"/>
      <c r="J338" s="12"/>
      <c r="K338" s="242"/>
      <c r="L338" s="245"/>
      <c r="M338" s="25"/>
      <c r="N338" s="31"/>
      <c r="O338" s="32"/>
      <c r="P338" s="32"/>
      <c r="Q338" s="33"/>
    </row>
    <row r="339" spans="1:17" ht="33.75" customHeight="1">
      <c r="A339" s="16">
        <v>266</v>
      </c>
      <c r="B339" s="310" t="b">
        <v>0</v>
      </c>
      <c r="C339" s="12"/>
      <c r="D339" s="18"/>
      <c r="E339" s="14" t="s">
        <v>331</v>
      </c>
      <c r="F339" s="26"/>
      <c r="G339" s="38"/>
      <c r="H339" s="26" t="s">
        <v>72</v>
      </c>
      <c r="I339" s="12"/>
      <c r="J339" s="12"/>
      <c r="K339" s="242"/>
      <c r="L339" s="245"/>
      <c r="M339" s="25"/>
      <c r="N339" s="31"/>
      <c r="O339" s="32"/>
      <c r="P339" s="32"/>
      <c r="Q339" s="33"/>
    </row>
    <row r="340" spans="1:17" ht="33.75" customHeight="1">
      <c r="A340" s="16">
        <v>267</v>
      </c>
      <c r="B340" s="310" t="b">
        <v>0</v>
      </c>
      <c r="C340" s="12"/>
      <c r="D340" s="18"/>
      <c r="E340" s="14" t="s">
        <v>332</v>
      </c>
      <c r="F340" s="26"/>
      <c r="G340" s="38"/>
      <c r="H340" s="26" t="s">
        <v>70</v>
      </c>
      <c r="I340" s="12"/>
      <c r="J340" s="12"/>
      <c r="K340" s="242"/>
      <c r="L340" s="245"/>
      <c r="M340" s="25"/>
      <c r="N340" s="31"/>
      <c r="O340" s="32"/>
      <c r="P340" s="32"/>
      <c r="Q340" s="33"/>
    </row>
    <row r="341" spans="1:17" ht="33.75" customHeight="1">
      <c r="A341" s="16">
        <v>268</v>
      </c>
      <c r="B341" s="310" t="b">
        <v>0</v>
      </c>
      <c r="C341" s="12"/>
      <c r="D341" s="18"/>
      <c r="E341" s="14" t="s">
        <v>333</v>
      </c>
      <c r="F341" s="26"/>
      <c r="G341" s="38"/>
      <c r="H341" s="26" t="s">
        <v>70</v>
      </c>
      <c r="I341" s="12"/>
      <c r="J341" s="12"/>
      <c r="K341" s="242"/>
      <c r="L341" s="245"/>
      <c r="M341" s="25"/>
      <c r="N341" s="31"/>
      <c r="O341" s="32"/>
      <c r="P341" s="32"/>
      <c r="Q341" s="33"/>
    </row>
    <row r="342" spans="1:17" ht="33.75" customHeight="1">
      <c r="A342" s="16">
        <v>269</v>
      </c>
      <c r="B342" s="310" t="b">
        <v>0</v>
      </c>
      <c r="C342" s="12"/>
      <c r="D342" s="18"/>
      <c r="E342" s="14" t="s">
        <v>333</v>
      </c>
      <c r="F342" s="26"/>
      <c r="G342" s="38"/>
      <c r="H342" s="26" t="s">
        <v>70</v>
      </c>
      <c r="I342" s="12"/>
      <c r="J342" s="12"/>
      <c r="K342" s="242"/>
      <c r="L342" s="245"/>
      <c r="M342" s="25"/>
      <c r="N342" s="31"/>
      <c r="O342" s="32"/>
      <c r="P342" s="32"/>
      <c r="Q342" s="33"/>
    </row>
    <row r="343" spans="1:17" ht="33.75" customHeight="1">
      <c r="A343" s="16">
        <v>270</v>
      </c>
      <c r="B343" s="310" t="b">
        <v>0</v>
      </c>
      <c r="C343" s="12"/>
      <c r="D343" s="18"/>
      <c r="E343" s="14" t="s">
        <v>333</v>
      </c>
      <c r="F343" s="26"/>
      <c r="G343" s="38"/>
      <c r="H343" s="26" t="s">
        <v>70</v>
      </c>
      <c r="I343" s="12"/>
      <c r="J343" s="12"/>
      <c r="K343" s="242"/>
      <c r="L343" s="245"/>
      <c r="M343" s="25"/>
      <c r="N343" s="31"/>
      <c r="O343" s="32"/>
      <c r="P343" s="32"/>
      <c r="Q343" s="33"/>
    </row>
    <row r="344" spans="1:17" ht="33.75" customHeight="1">
      <c r="A344" s="16">
        <v>271</v>
      </c>
      <c r="B344" s="310" t="b">
        <v>0</v>
      </c>
      <c r="C344" s="12"/>
      <c r="D344" s="18" t="s">
        <v>375</v>
      </c>
      <c r="E344" s="14" t="s">
        <v>334</v>
      </c>
      <c r="F344" s="26"/>
      <c r="G344" s="38"/>
      <c r="H344" s="26" t="s">
        <v>70</v>
      </c>
      <c r="I344" s="12"/>
      <c r="J344" s="12"/>
      <c r="K344" s="242"/>
      <c r="L344" s="245"/>
      <c r="M344" s="25"/>
      <c r="N344" s="31"/>
      <c r="O344" s="32"/>
      <c r="P344" s="32"/>
      <c r="Q344" s="33"/>
    </row>
    <row r="345" spans="1:17" ht="33.75" customHeight="1">
      <c r="A345" s="16">
        <v>272</v>
      </c>
      <c r="B345" s="310" t="b">
        <v>0</v>
      </c>
      <c r="C345" s="12"/>
      <c r="D345" s="18" t="s">
        <v>376</v>
      </c>
      <c r="E345" s="14" t="s">
        <v>255</v>
      </c>
      <c r="F345" s="26"/>
      <c r="G345" s="38"/>
      <c r="H345" s="26" t="s">
        <v>70</v>
      </c>
      <c r="I345" s="12"/>
      <c r="J345" s="12"/>
      <c r="K345" s="242"/>
      <c r="L345" s="245"/>
      <c r="M345" s="25"/>
      <c r="N345" s="31"/>
      <c r="O345" s="32"/>
      <c r="P345" s="32"/>
      <c r="Q345" s="33"/>
    </row>
    <row r="346" spans="1:17" ht="33.75" customHeight="1">
      <c r="A346" s="16">
        <v>273</v>
      </c>
      <c r="B346" s="310" t="b">
        <v>0</v>
      </c>
      <c r="C346" s="12"/>
      <c r="D346" s="18" t="s">
        <v>355</v>
      </c>
      <c r="E346" s="14" t="s">
        <v>335</v>
      </c>
      <c r="F346" s="26"/>
      <c r="G346" s="38"/>
      <c r="H346" s="26" t="s">
        <v>70</v>
      </c>
      <c r="I346" s="12"/>
      <c r="J346" s="12"/>
      <c r="K346" s="242"/>
      <c r="L346" s="245"/>
      <c r="M346" s="25"/>
      <c r="N346" s="31"/>
      <c r="O346" s="32"/>
      <c r="P346" s="32"/>
      <c r="Q346" s="33"/>
    </row>
    <row r="347" spans="1:17" ht="33.75" customHeight="1">
      <c r="A347" s="16">
        <v>274</v>
      </c>
      <c r="B347" s="310" t="b">
        <v>0</v>
      </c>
      <c r="C347" s="12"/>
      <c r="D347" s="18" t="s">
        <v>354</v>
      </c>
      <c r="E347" s="14" t="s">
        <v>253</v>
      </c>
      <c r="F347" s="26"/>
      <c r="G347" s="38"/>
      <c r="H347" s="26" t="s">
        <v>70</v>
      </c>
      <c r="I347" s="12"/>
      <c r="J347" s="12"/>
      <c r="K347" s="242"/>
      <c r="L347" s="245"/>
      <c r="M347" s="25"/>
      <c r="N347" s="31"/>
      <c r="O347" s="32"/>
      <c r="P347" s="32"/>
      <c r="Q347" s="33"/>
    </row>
    <row r="348" spans="1:17" ht="33.75" customHeight="1">
      <c r="A348" s="16">
        <v>275</v>
      </c>
      <c r="B348" s="310" t="b">
        <v>0</v>
      </c>
      <c r="C348" s="12"/>
      <c r="D348" s="18" t="s">
        <v>377</v>
      </c>
      <c r="E348" s="14" t="s">
        <v>336</v>
      </c>
      <c r="F348" s="26"/>
      <c r="G348" s="38"/>
      <c r="H348" s="26" t="s">
        <v>70</v>
      </c>
      <c r="I348" s="12"/>
      <c r="J348" s="12"/>
      <c r="K348" s="242"/>
      <c r="L348" s="245"/>
      <c r="M348" s="25"/>
      <c r="N348" s="31"/>
      <c r="O348" s="32"/>
      <c r="P348" s="32"/>
      <c r="Q348" s="33"/>
    </row>
    <row r="349" spans="1:17" ht="33.75" customHeight="1">
      <c r="A349" s="16">
        <v>276</v>
      </c>
      <c r="B349" s="310" t="b">
        <v>0</v>
      </c>
      <c r="C349" s="12"/>
      <c r="D349" s="18" t="s">
        <v>378</v>
      </c>
      <c r="E349" s="14" t="s">
        <v>337</v>
      </c>
      <c r="F349" s="26"/>
      <c r="G349" s="38"/>
      <c r="H349" s="26" t="s">
        <v>70</v>
      </c>
      <c r="I349" s="12"/>
      <c r="J349" s="12"/>
      <c r="K349" s="242"/>
      <c r="L349" s="245"/>
      <c r="M349" s="25"/>
      <c r="N349" s="31"/>
      <c r="O349" s="32"/>
      <c r="P349" s="32"/>
      <c r="Q349" s="33"/>
    </row>
    <row r="350" spans="1:17" ht="33.75" customHeight="1">
      <c r="A350" s="16">
        <v>277</v>
      </c>
      <c r="B350" s="310" t="b">
        <v>0</v>
      </c>
      <c r="C350" s="12"/>
      <c r="D350" s="156" t="s">
        <v>379</v>
      </c>
      <c r="E350" s="14" t="s">
        <v>338</v>
      </c>
      <c r="F350" s="26"/>
      <c r="G350" s="38"/>
      <c r="H350" s="26" t="s">
        <v>70</v>
      </c>
      <c r="I350" s="12"/>
      <c r="J350" s="12"/>
      <c r="K350" s="242"/>
      <c r="L350" s="245"/>
      <c r="M350" s="25"/>
      <c r="N350" s="31"/>
      <c r="O350" s="32"/>
      <c r="P350" s="32"/>
      <c r="Q350" s="33"/>
    </row>
    <row r="351" spans="1:17" ht="33.75" customHeight="1">
      <c r="A351" s="16">
        <v>278</v>
      </c>
      <c r="B351" s="310" t="b">
        <v>0</v>
      </c>
      <c r="C351" s="12"/>
      <c r="D351" s="18"/>
      <c r="E351" s="14" t="s">
        <v>204</v>
      </c>
      <c r="F351" s="26"/>
      <c r="G351" s="38"/>
      <c r="H351" s="26" t="s">
        <v>70</v>
      </c>
      <c r="I351" s="12"/>
      <c r="J351" s="12"/>
      <c r="K351" s="242"/>
      <c r="L351" s="245"/>
      <c r="M351" s="25"/>
      <c r="N351" s="31"/>
      <c r="O351" s="32"/>
      <c r="P351" s="32"/>
      <c r="Q351" s="33"/>
    </row>
    <row r="352" spans="1:17" ht="33.75" customHeight="1">
      <c r="A352" s="16">
        <v>279</v>
      </c>
      <c r="B352" s="310" t="b">
        <v>0</v>
      </c>
      <c r="C352" s="12"/>
      <c r="D352" s="18"/>
      <c r="E352" s="14" t="s">
        <v>228</v>
      </c>
      <c r="F352" s="26"/>
      <c r="G352" s="38"/>
      <c r="H352" s="26" t="s">
        <v>70</v>
      </c>
      <c r="I352" s="12"/>
      <c r="J352" s="12"/>
      <c r="K352" s="242"/>
      <c r="L352" s="245"/>
      <c r="M352" s="25"/>
      <c r="N352" s="31"/>
      <c r="O352" s="32"/>
      <c r="P352" s="32"/>
      <c r="Q352" s="33"/>
    </row>
    <row r="353" spans="1:17" ht="33.75" customHeight="1">
      <c r="A353" s="16">
        <v>280</v>
      </c>
      <c r="B353" s="310" t="b">
        <v>0</v>
      </c>
      <c r="C353" s="12"/>
      <c r="D353" s="18"/>
      <c r="E353" s="14" t="s">
        <v>339</v>
      </c>
      <c r="F353" s="26"/>
      <c r="G353" s="38"/>
      <c r="H353" s="26" t="s">
        <v>70</v>
      </c>
      <c r="I353" s="12"/>
      <c r="J353" s="12"/>
      <c r="K353" s="242"/>
      <c r="L353" s="245"/>
      <c r="M353" s="25"/>
      <c r="N353" s="31"/>
      <c r="O353" s="32"/>
      <c r="P353" s="32"/>
      <c r="Q353" s="33"/>
    </row>
    <row r="354" spans="1:17" ht="33.75" customHeight="1">
      <c r="A354" s="16">
        <v>281</v>
      </c>
      <c r="B354" s="310" t="b">
        <v>0</v>
      </c>
      <c r="C354" s="12"/>
      <c r="D354" s="18"/>
      <c r="E354" s="14" t="s">
        <v>305</v>
      </c>
      <c r="F354" s="26"/>
      <c r="G354" s="38"/>
      <c r="H354" s="26" t="s">
        <v>70</v>
      </c>
      <c r="I354" s="12"/>
      <c r="J354" s="12"/>
      <c r="K354" s="242"/>
      <c r="L354" s="245"/>
      <c r="M354" s="25"/>
      <c r="N354" s="31"/>
      <c r="O354" s="32"/>
      <c r="P354" s="32"/>
      <c r="Q354" s="33"/>
    </row>
    <row r="355" spans="1:17" ht="33.75" customHeight="1">
      <c r="A355" s="16">
        <v>282</v>
      </c>
      <c r="B355" s="310" t="b">
        <v>0</v>
      </c>
      <c r="C355" s="12"/>
      <c r="D355" s="18"/>
      <c r="E355" s="14" t="s">
        <v>340</v>
      </c>
      <c r="F355" s="26"/>
      <c r="G355" s="38"/>
      <c r="H355" s="26" t="s">
        <v>70</v>
      </c>
      <c r="I355" s="12"/>
      <c r="J355" s="12"/>
      <c r="K355" s="242"/>
      <c r="L355" s="245"/>
      <c r="M355" s="25"/>
      <c r="N355" s="31"/>
      <c r="O355" s="32"/>
      <c r="P355" s="32"/>
      <c r="Q355" s="33"/>
    </row>
    <row r="356" spans="1:17" ht="33.75" customHeight="1">
      <c r="A356" s="16">
        <v>283</v>
      </c>
      <c r="B356" s="310" t="b">
        <v>0</v>
      </c>
      <c r="C356" s="12"/>
      <c r="D356" s="18"/>
      <c r="E356" s="14" t="s">
        <v>341</v>
      </c>
      <c r="F356" s="26"/>
      <c r="G356" s="38"/>
      <c r="H356" s="26" t="s">
        <v>70</v>
      </c>
      <c r="I356" s="12"/>
      <c r="J356" s="12"/>
      <c r="K356" s="242"/>
      <c r="L356" s="245"/>
      <c r="M356" s="25"/>
      <c r="N356" s="31"/>
      <c r="O356" s="32"/>
      <c r="P356" s="32"/>
      <c r="Q356" s="33"/>
    </row>
    <row r="357" spans="1:17" ht="33.75" customHeight="1">
      <c r="A357" s="16">
        <v>284</v>
      </c>
      <c r="B357" s="310" t="b">
        <v>0</v>
      </c>
      <c r="C357" s="12"/>
      <c r="D357" s="18"/>
      <c r="E357" s="14" t="s">
        <v>227</v>
      </c>
      <c r="F357" s="26"/>
      <c r="G357" s="38"/>
      <c r="H357" s="26" t="s">
        <v>70</v>
      </c>
      <c r="I357" s="12"/>
      <c r="J357" s="12"/>
      <c r="K357" s="242"/>
      <c r="L357" s="245"/>
      <c r="M357" s="25"/>
      <c r="N357" s="31"/>
      <c r="O357" s="32"/>
      <c r="P357" s="32"/>
      <c r="Q357" s="33"/>
    </row>
    <row r="358" spans="1:17" ht="33.75" customHeight="1">
      <c r="A358" s="16">
        <v>285</v>
      </c>
      <c r="B358" s="310" t="b">
        <v>0</v>
      </c>
      <c r="C358" s="12"/>
      <c r="D358" s="18"/>
      <c r="E358" s="14" t="s">
        <v>342</v>
      </c>
      <c r="F358" s="26"/>
      <c r="G358" s="38"/>
      <c r="H358" s="26" t="s">
        <v>70</v>
      </c>
      <c r="I358" s="12"/>
      <c r="J358" s="12"/>
      <c r="K358" s="242"/>
      <c r="L358" s="245"/>
      <c r="M358" s="25"/>
      <c r="N358" s="31"/>
      <c r="O358" s="32"/>
      <c r="P358" s="32"/>
      <c r="Q358" s="33"/>
    </row>
    <row r="359" spans="1:17" ht="33.75" customHeight="1">
      <c r="A359" s="16">
        <v>286</v>
      </c>
      <c r="B359" s="310" t="b">
        <v>0</v>
      </c>
      <c r="C359" s="12"/>
      <c r="D359" s="18"/>
      <c r="E359" s="14" t="s">
        <v>343</v>
      </c>
      <c r="F359" s="26"/>
      <c r="G359" s="38"/>
      <c r="H359" s="26" t="s">
        <v>70</v>
      </c>
      <c r="I359" s="12"/>
      <c r="J359" s="12"/>
      <c r="K359" s="242"/>
      <c r="L359" s="245"/>
      <c r="M359" s="25"/>
      <c r="N359" s="31"/>
      <c r="O359" s="32"/>
      <c r="P359" s="32"/>
      <c r="Q359" s="33"/>
    </row>
    <row r="360" spans="1:17" ht="33.75" customHeight="1">
      <c r="A360" s="16">
        <v>287</v>
      </c>
      <c r="B360" s="310" t="b">
        <v>0</v>
      </c>
      <c r="C360" s="12"/>
      <c r="D360" s="18"/>
      <c r="E360" s="14" t="s">
        <v>344</v>
      </c>
      <c r="F360" s="26"/>
      <c r="G360" s="38"/>
      <c r="H360" s="26" t="s">
        <v>70</v>
      </c>
      <c r="I360" s="12"/>
      <c r="J360" s="12"/>
      <c r="K360" s="242"/>
      <c r="L360" s="245"/>
      <c r="M360" s="25"/>
      <c r="N360" s="31"/>
      <c r="O360" s="32"/>
      <c r="P360" s="32"/>
      <c r="Q360" s="33"/>
    </row>
    <row r="361" spans="1:17" ht="33.75" customHeight="1">
      <c r="A361" s="16">
        <v>288</v>
      </c>
      <c r="B361" s="310" t="b">
        <v>0</v>
      </c>
      <c r="C361" s="12"/>
      <c r="D361" s="18"/>
      <c r="E361" s="14" t="s">
        <v>345</v>
      </c>
      <c r="F361" s="26"/>
      <c r="G361" s="38"/>
      <c r="H361" s="26" t="s">
        <v>70</v>
      </c>
      <c r="I361" s="12"/>
      <c r="J361" s="12"/>
      <c r="K361" s="242"/>
      <c r="L361" s="245"/>
      <c r="M361" s="25"/>
      <c r="N361" s="31"/>
      <c r="O361" s="32"/>
      <c r="P361" s="32"/>
      <c r="Q361" s="33"/>
    </row>
    <row r="362" spans="1:17" ht="33.75" customHeight="1">
      <c r="A362" s="16">
        <v>289</v>
      </c>
      <c r="B362" s="310" t="b">
        <v>0</v>
      </c>
      <c r="C362" s="12"/>
      <c r="D362" s="18"/>
      <c r="E362" s="14" t="s">
        <v>558</v>
      </c>
      <c r="F362" s="26"/>
      <c r="G362" s="38">
        <v>1</v>
      </c>
      <c r="H362" s="26" t="s">
        <v>70</v>
      </c>
      <c r="I362" s="12"/>
      <c r="J362" s="12"/>
      <c r="K362" s="242"/>
      <c r="L362" s="245"/>
      <c r="M362" s="25"/>
      <c r="N362" s="31"/>
      <c r="O362" s="32"/>
      <c r="P362" s="32"/>
      <c r="Q362" s="33"/>
    </row>
    <row r="363" spans="1:17" ht="33.75" customHeight="1">
      <c r="A363" s="16">
        <v>290</v>
      </c>
      <c r="B363" s="310" t="b">
        <v>0</v>
      </c>
      <c r="C363" s="12"/>
      <c r="D363" s="18"/>
      <c r="E363" s="14" t="s">
        <v>559</v>
      </c>
      <c r="F363" s="26"/>
      <c r="G363" s="38">
        <v>1</v>
      </c>
      <c r="H363" s="26" t="s">
        <v>70</v>
      </c>
      <c r="I363" s="12"/>
      <c r="J363" s="12"/>
      <c r="K363" s="242"/>
      <c r="L363" s="245"/>
      <c r="M363" s="25"/>
      <c r="N363" s="31"/>
      <c r="O363" s="32"/>
      <c r="P363" s="32"/>
      <c r="Q363" s="33"/>
    </row>
    <row r="364" spans="1:17" ht="33.75" customHeight="1">
      <c r="A364" s="16">
        <v>291</v>
      </c>
      <c r="B364" s="310" t="b">
        <v>0</v>
      </c>
      <c r="C364" s="12"/>
      <c r="D364" s="18" t="s">
        <v>481</v>
      </c>
      <c r="E364" s="14" t="s">
        <v>193</v>
      </c>
      <c r="F364" s="26"/>
      <c r="G364" s="38">
        <v>10</v>
      </c>
      <c r="H364" s="26" t="s">
        <v>72</v>
      </c>
      <c r="I364" s="12"/>
      <c r="J364" s="12"/>
      <c r="K364" s="242"/>
      <c r="L364" s="247" t="s">
        <v>483</v>
      </c>
      <c r="M364" s="25"/>
      <c r="N364" s="28" t="s">
        <v>382</v>
      </c>
      <c r="O364" s="32"/>
      <c r="P364" s="32"/>
      <c r="Q364" s="33"/>
    </row>
    <row r="365" spans="1:17" ht="33.75" customHeight="1">
      <c r="A365" s="16">
        <v>292</v>
      </c>
      <c r="B365" s="310" t="b">
        <v>0</v>
      </c>
      <c r="C365" s="12"/>
      <c r="D365" s="18" t="s">
        <v>482</v>
      </c>
      <c r="E365" s="14" t="s">
        <v>278</v>
      </c>
      <c r="F365" s="26"/>
      <c r="G365" s="38">
        <v>10</v>
      </c>
      <c r="H365" s="26" t="s">
        <v>72</v>
      </c>
      <c r="I365" s="12"/>
      <c r="J365" s="12"/>
      <c r="K365" s="242"/>
      <c r="L365" s="245"/>
      <c r="M365" s="25"/>
      <c r="N365" s="28" t="s">
        <v>382</v>
      </c>
      <c r="O365" s="32"/>
      <c r="P365" s="32"/>
      <c r="Q365" s="33"/>
    </row>
    <row r="366" spans="1:17" ht="33.75" customHeight="1">
      <c r="A366" s="16">
        <v>293</v>
      </c>
      <c r="B366" s="310" t="b">
        <v>0</v>
      </c>
      <c r="C366" s="12"/>
      <c r="D366" s="18"/>
      <c r="E366" s="14" t="s">
        <v>263</v>
      </c>
      <c r="F366" s="26"/>
      <c r="G366" s="38"/>
      <c r="H366" s="26" t="s">
        <v>70</v>
      </c>
      <c r="I366" s="12"/>
      <c r="J366" s="12"/>
      <c r="K366" s="242"/>
      <c r="L366" s="245"/>
      <c r="M366" s="25"/>
      <c r="N366" s="31"/>
      <c r="O366" s="32"/>
      <c r="P366" s="32"/>
      <c r="Q366" s="33"/>
    </row>
    <row r="367" spans="1:17" ht="33.75" customHeight="1">
      <c r="A367" s="16">
        <v>294</v>
      </c>
      <c r="B367" s="310" t="b">
        <v>0</v>
      </c>
      <c r="C367" s="12"/>
      <c r="D367" s="18"/>
      <c r="E367" s="14" t="s">
        <v>264</v>
      </c>
      <c r="F367" s="26"/>
      <c r="G367" s="38"/>
      <c r="H367" s="26" t="s">
        <v>70</v>
      </c>
      <c r="I367" s="12"/>
      <c r="J367" s="12"/>
      <c r="K367" s="242"/>
      <c r="L367" s="245"/>
      <c r="M367" s="25"/>
      <c r="N367" s="31" t="s">
        <v>62</v>
      </c>
      <c r="O367" s="32"/>
      <c r="P367" s="32"/>
      <c r="Q367" s="33"/>
    </row>
    <row r="368" spans="1:17" ht="33.75" customHeight="1">
      <c r="A368" s="16">
        <v>295</v>
      </c>
      <c r="B368" s="310" t="b">
        <v>0</v>
      </c>
      <c r="C368" s="12" t="s">
        <v>37</v>
      </c>
      <c r="D368" s="18"/>
      <c r="E368" s="14" t="s">
        <v>265</v>
      </c>
      <c r="F368" s="26"/>
      <c r="G368" s="38"/>
      <c r="H368" s="26" t="s">
        <v>70</v>
      </c>
      <c r="I368" s="12"/>
      <c r="J368" s="12"/>
      <c r="K368" s="242"/>
      <c r="L368" s="245"/>
      <c r="M368" s="25"/>
      <c r="N368" s="31" t="s">
        <v>62</v>
      </c>
      <c r="O368" s="32"/>
      <c r="P368" s="32"/>
      <c r="Q368" s="33"/>
    </row>
    <row r="369" spans="1:17" ht="33.75" customHeight="1">
      <c r="A369" s="16">
        <v>296</v>
      </c>
      <c r="B369" s="310" t="b">
        <v>0</v>
      </c>
      <c r="C369" s="12"/>
      <c r="D369" s="18"/>
      <c r="E369" s="14" t="s">
        <v>266</v>
      </c>
      <c r="F369" s="26"/>
      <c r="G369" s="38"/>
      <c r="H369" s="26" t="s">
        <v>70</v>
      </c>
      <c r="I369" s="12"/>
      <c r="J369" s="12"/>
      <c r="K369" s="242"/>
      <c r="L369" s="245"/>
      <c r="M369" s="25"/>
      <c r="N369" s="31" t="s">
        <v>62</v>
      </c>
      <c r="O369" s="32"/>
      <c r="P369" s="32"/>
      <c r="Q369" s="33"/>
    </row>
    <row r="370" spans="1:17" ht="33.75" customHeight="1">
      <c r="A370" s="16">
        <v>298</v>
      </c>
      <c r="B370" s="310" t="b">
        <v>0</v>
      </c>
      <c r="C370" s="12" t="s">
        <v>38</v>
      </c>
      <c r="D370" s="18"/>
      <c r="E370" s="14" t="s">
        <v>346</v>
      </c>
      <c r="F370" s="26"/>
      <c r="G370" s="38"/>
      <c r="H370" s="26" t="s">
        <v>70</v>
      </c>
      <c r="I370" s="12"/>
      <c r="J370" s="12"/>
      <c r="K370" s="242"/>
      <c r="L370" s="245"/>
      <c r="M370" s="25"/>
      <c r="N370" s="31" t="s">
        <v>62</v>
      </c>
      <c r="O370" s="32"/>
      <c r="P370" s="32"/>
      <c r="Q370" s="33"/>
    </row>
    <row r="371" spans="1:17" ht="33.75" customHeight="1">
      <c r="A371" s="16">
        <v>299</v>
      </c>
      <c r="B371" s="310" t="b">
        <v>0</v>
      </c>
      <c r="C371" s="12" t="s">
        <v>41</v>
      </c>
      <c r="D371" s="18"/>
      <c r="E371" s="14" t="s">
        <v>267</v>
      </c>
      <c r="F371" s="26"/>
      <c r="G371" s="38"/>
      <c r="H371" s="26" t="s">
        <v>70</v>
      </c>
      <c r="I371" s="12"/>
      <c r="J371" s="12"/>
      <c r="K371" s="242"/>
      <c r="L371" s="245"/>
      <c r="M371" s="25"/>
      <c r="N371" s="31" t="s">
        <v>62</v>
      </c>
      <c r="O371" s="32"/>
      <c r="P371" s="32"/>
      <c r="Q371" s="33"/>
    </row>
    <row r="372" spans="1:17" ht="33.75" customHeight="1">
      <c r="A372" s="16">
        <v>300</v>
      </c>
      <c r="B372" s="310" t="b">
        <v>0</v>
      </c>
      <c r="C372" s="12"/>
      <c r="D372" s="18"/>
      <c r="E372" s="14" t="s">
        <v>294</v>
      </c>
      <c r="F372" s="26"/>
      <c r="G372" s="38"/>
      <c r="H372" s="26" t="s">
        <v>70</v>
      </c>
      <c r="I372" s="12"/>
      <c r="J372" s="12"/>
      <c r="K372" s="242"/>
      <c r="L372" s="245"/>
      <c r="M372" s="25"/>
      <c r="N372" s="31" t="s">
        <v>62</v>
      </c>
      <c r="O372" s="32"/>
      <c r="P372" s="32"/>
      <c r="Q372" s="33"/>
    </row>
    <row r="373" spans="1:17" ht="33.75" customHeight="1">
      <c r="A373" s="16">
        <v>301</v>
      </c>
      <c r="B373" s="310" t="b">
        <v>0</v>
      </c>
      <c r="C373" s="12"/>
      <c r="D373" s="18"/>
      <c r="E373" s="14" t="s">
        <v>268</v>
      </c>
      <c r="F373" s="26"/>
      <c r="G373" s="38"/>
      <c r="H373" s="26" t="s">
        <v>70</v>
      </c>
      <c r="I373" s="12"/>
      <c r="J373" s="12"/>
      <c r="K373" s="242"/>
      <c r="L373" s="245"/>
      <c r="M373" s="25"/>
      <c r="N373" s="31" t="s">
        <v>62</v>
      </c>
      <c r="O373" s="32"/>
      <c r="P373" s="32"/>
      <c r="Q373" s="33"/>
    </row>
    <row r="374" spans="1:17" ht="33.75" customHeight="1">
      <c r="A374" s="16">
        <v>302</v>
      </c>
      <c r="B374" s="310" t="b">
        <v>0</v>
      </c>
      <c r="C374" s="12" t="s">
        <v>44</v>
      </c>
      <c r="D374" s="18"/>
      <c r="E374" s="14" t="s">
        <v>272</v>
      </c>
      <c r="F374" s="26"/>
      <c r="G374" s="38"/>
      <c r="H374" s="26" t="s">
        <v>70</v>
      </c>
      <c r="I374" s="12"/>
      <c r="J374" s="12"/>
      <c r="K374" s="242"/>
      <c r="L374" s="245"/>
      <c r="M374" s="25"/>
      <c r="N374" s="31" t="s">
        <v>62</v>
      </c>
      <c r="O374" s="32"/>
      <c r="P374" s="32"/>
      <c r="Q374" s="33"/>
    </row>
    <row r="375" spans="1:17" ht="33.75" customHeight="1">
      <c r="A375" s="16">
        <v>303</v>
      </c>
      <c r="B375" s="310" t="b">
        <v>0</v>
      </c>
      <c r="C375" s="12" t="s">
        <v>45</v>
      </c>
      <c r="D375" s="18"/>
      <c r="E375" s="14" t="s">
        <v>273</v>
      </c>
      <c r="F375" s="26"/>
      <c r="G375" s="38"/>
      <c r="H375" s="26" t="s">
        <v>70</v>
      </c>
      <c r="I375" s="12"/>
      <c r="J375" s="12"/>
      <c r="K375" s="242"/>
      <c r="L375" s="245"/>
      <c r="M375" s="25"/>
      <c r="N375" s="31" t="s">
        <v>64</v>
      </c>
      <c r="O375" s="32"/>
      <c r="P375" s="32"/>
      <c r="Q375" s="33"/>
    </row>
    <row r="376" spans="1:17" ht="33.75" customHeight="1">
      <c r="A376" s="16">
        <v>304</v>
      </c>
      <c r="B376" s="310" t="b">
        <v>0</v>
      </c>
      <c r="C376" s="12" t="s">
        <v>45</v>
      </c>
      <c r="D376" s="18"/>
      <c r="E376" s="14" t="s">
        <v>274</v>
      </c>
      <c r="F376" s="26"/>
      <c r="G376" s="38"/>
      <c r="H376" s="26" t="s">
        <v>70</v>
      </c>
      <c r="I376" s="12"/>
      <c r="J376" s="12"/>
      <c r="K376" s="242"/>
      <c r="L376" s="245"/>
      <c r="M376" s="25"/>
      <c r="N376" s="31" t="s">
        <v>65</v>
      </c>
      <c r="O376" s="32"/>
      <c r="P376" s="32"/>
      <c r="Q376" s="33"/>
    </row>
    <row r="377" spans="1:17" ht="33.75" customHeight="1">
      <c r="A377" s="16">
        <v>305</v>
      </c>
      <c r="B377" s="310" t="b">
        <v>0</v>
      </c>
      <c r="C377" s="12" t="s">
        <v>46</v>
      </c>
      <c r="D377" s="18"/>
      <c r="E377" s="14" t="s">
        <v>279</v>
      </c>
      <c r="F377" s="26"/>
      <c r="G377" s="38"/>
      <c r="H377" s="26" t="s">
        <v>70</v>
      </c>
      <c r="I377" s="12"/>
      <c r="J377" s="12"/>
      <c r="K377" s="242"/>
      <c r="L377" s="245"/>
      <c r="M377" s="25"/>
      <c r="N377" s="31"/>
      <c r="O377" s="32"/>
      <c r="P377" s="32"/>
      <c r="Q377" s="33"/>
    </row>
    <row r="378" spans="1:17" ht="33.75" customHeight="1">
      <c r="A378" s="16">
        <v>306</v>
      </c>
      <c r="B378" s="310" t="b">
        <v>0</v>
      </c>
      <c r="C378" s="12" t="s">
        <v>47</v>
      </c>
      <c r="D378" s="18"/>
      <c r="E378" s="14" t="s">
        <v>280</v>
      </c>
      <c r="F378" s="26"/>
      <c r="G378" s="38"/>
      <c r="H378" s="26" t="s">
        <v>70</v>
      </c>
      <c r="I378" s="12"/>
      <c r="J378" s="12"/>
      <c r="K378" s="242"/>
      <c r="L378" s="245"/>
      <c r="M378" s="25"/>
      <c r="N378" s="31"/>
      <c r="O378" s="32"/>
      <c r="P378" s="32"/>
      <c r="Q378" s="33"/>
    </row>
    <row r="379" spans="1:17" ht="33.75" customHeight="1">
      <c r="A379" s="16">
        <v>307</v>
      </c>
      <c r="B379" s="310" t="b">
        <v>0</v>
      </c>
      <c r="C379" s="12"/>
      <c r="D379" s="18"/>
      <c r="E379" s="56" t="s">
        <v>150</v>
      </c>
      <c r="F379" s="26"/>
      <c r="G379" s="38"/>
      <c r="H379" s="26" t="s">
        <v>70</v>
      </c>
      <c r="I379" s="12"/>
      <c r="J379" s="12"/>
      <c r="K379" s="242"/>
      <c r="L379" s="245"/>
      <c r="M379" s="25"/>
      <c r="N379" s="28"/>
      <c r="O379" s="32"/>
      <c r="P379" s="32"/>
      <c r="Q379" s="33"/>
    </row>
    <row r="380" spans="1:17" ht="33.75" customHeight="1">
      <c r="A380" s="16">
        <v>308</v>
      </c>
      <c r="B380" s="310" t="b">
        <v>0</v>
      </c>
      <c r="C380" s="12"/>
      <c r="D380" s="18"/>
      <c r="E380" s="14" t="s">
        <v>178</v>
      </c>
      <c r="F380" s="26"/>
      <c r="G380" s="38"/>
      <c r="H380" s="26" t="s">
        <v>70</v>
      </c>
      <c r="I380" s="12"/>
      <c r="J380" s="12"/>
      <c r="K380" s="242"/>
      <c r="L380" s="245"/>
      <c r="M380" s="25"/>
      <c r="N380" s="31"/>
      <c r="O380" s="32"/>
      <c r="P380" s="32"/>
      <c r="Q380" s="33"/>
    </row>
    <row r="381" spans="1:17" ht="33.75" customHeight="1">
      <c r="A381" s="16">
        <v>309</v>
      </c>
      <c r="B381" s="310" t="b">
        <v>0</v>
      </c>
      <c r="C381" s="12"/>
      <c r="D381" s="18"/>
      <c r="E381" s="14" t="s">
        <v>179</v>
      </c>
      <c r="F381" s="26"/>
      <c r="G381" s="38"/>
      <c r="H381" s="26" t="s">
        <v>70</v>
      </c>
      <c r="I381" s="12"/>
      <c r="J381" s="12"/>
      <c r="K381" s="242"/>
      <c r="L381" s="245"/>
      <c r="M381" s="25"/>
      <c r="N381" s="31"/>
      <c r="O381" s="32"/>
      <c r="P381" s="32"/>
      <c r="Q381" s="33"/>
    </row>
    <row r="382" spans="1:17" ht="33.75" customHeight="1">
      <c r="A382" s="16">
        <v>310</v>
      </c>
      <c r="B382" s="310" t="b">
        <v>0</v>
      </c>
      <c r="C382" s="12"/>
      <c r="D382" s="18"/>
      <c r="E382" s="14" t="s">
        <v>281</v>
      </c>
      <c r="F382" s="26"/>
      <c r="G382" s="38"/>
      <c r="H382" s="26" t="s">
        <v>70</v>
      </c>
      <c r="I382" s="12"/>
      <c r="J382" s="12"/>
      <c r="K382" s="242"/>
      <c r="L382" s="245"/>
      <c r="M382" s="25"/>
      <c r="N382" s="31"/>
      <c r="O382" s="32"/>
      <c r="P382" s="32"/>
      <c r="Q382" s="33"/>
    </row>
    <row r="383" spans="1:17" ht="33.75" customHeight="1">
      <c r="A383" s="16">
        <v>311</v>
      </c>
      <c r="B383" s="310" t="b">
        <v>0</v>
      </c>
      <c r="C383" s="12"/>
      <c r="D383" s="18"/>
      <c r="E383" s="14" t="s">
        <v>180</v>
      </c>
      <c r="F383" s="26"/>
      <c r="G383" s="38"/>
      <c r="H383" s="26" t="s">
        <v>70</v>
      </c>
      <c r="I383" s="12"/>
      <c r="J383" s="12"/>
      <c r="K383" s="242"/>
      <c r="L383" s="245"/>
      <c r="M383" s="25"/>
      <c r="N383" s="31"/>
      <c r="O383" s="32"/>
      <c r="P383" s="32"/>
      <c r="Q383" s="33"/>
    </row>
    <row r="384" spans="1:17" ht="33.75" customHeight="1">
      <c r="A384" s="16">
        <v>312</v>
      </c>
      <c r="B384" s="310" t="b">
        <v>0</v>
      </c>
      <c r="C384" s="12"/>
      <c r="D384" s="18"/>
      <c r="E384" s="14" t="s">
        <v>198</v>
      </c>
      <c r="F384" s="26"/>
      <c r="G384" s="38"/>
      <c r="H384" s="26" t="s">
        <v>70</v>
      </c>
      <c r="I384" s="12"/>
      <c r="J384" s="12"/>
      <c r="K384" s="242"/>
      <c r="L384" s="245"/>
      <c r="M384" s="25"/>
      <c r="N384" s="31"/>
      <c r="O384" s="32"/>
      <c r="P384" s="32"/>
      <c r="Q384" s="33"/>
    </row>
    <row r="385" spans="1:17" ht="33.75" customHeight="1">
      <c r="A385" s="16">
        <v>313</v>
      </c>
      <c r="B385" s="310" t="b">
        <v>0</v>
      </c>
      <c r="C385" s="12"/>
      <c r="D385" s="18"/>
      <c r="E385" s="14" t="s">
        <v>282</v>
      </c>
      <c r="F385" s="26"/>
      <c r="G385" s="38"/>
      <c r="H385" s="26" t="s">
        <v>70</v>
      </c>
      <c r="I385" s="12"/>
      <c r="J385" s="12"/>
      <c r="K385" s="242"/>
      <c r="L385" s="245"/>
      <c r="M385" s="25"/>
      <c r="N385" s="31"/>
      <c r="O385" s="32"/>
      <c r="P385" s="32"/>
      <c r="Q385" s="33"/>
    </row>
    <row r="386" spans="1:17" ht="33.75" customHeight="1">
      <c r="A386" s="16">
        <v>314</v>
      </c>
      <c r="B386" s="310" t="b">
        <v>0</v>
      </c>
      <c r="C386" s="12"/>
      <c r="D386" s="18"/>
      <c r="E386" s="14" t="s">
        <v>283</v>
      </c>
      <c r="F386" s="26"/>
      <c r="G386" s="38"/>
      <c r="H386" s="26" t="s">
        <v>70</v>
      </c>
      <c r="I386" s="12"/>
      <c r="J386" s="12"/>
      <c r="K386" s="242"/>
      <c r="L386" s="245"/>
      <c r="M386" s="25"/>
      <c r="N386" s="31"/>
      <c r="O386" s="32"/>
      <c r="P386" s="32"/>
      <c r="Q386" s="33"/>
    </row>
    <row r="387" spans="1:17" ht="33.75" customHeight="1">
      <c r="A387" s="16">
        <v>315</v>
      </c>
      <c r="B387" s="310" t="b">
        <v>0</v>
      </c>
      <c r="C387" s="12"/>
      <c r="D387" s="18"/>
      <c r="E387" s="14" t="s">
        <v>182</v>
      </c>
      <c r="F387" s="26"/>
      <c r="G387" s="38"/>
      <c r="H387" s="26" t="s">
        <v>70</v>
      </c>
      <c r="I387" s="12"/>
      <c r="J387" s="12"/>
      <c r="K387" s="242"/>
      <c r="L387" s="245"/>
      <c r="M387" s="25"/>
      <c r="N387" s="31"/>
      <c r="O387" s="32"/>
      <c r="P387" s="32"/>
      <c r="Q387" s="33"/>
    </row>
    <row r="388" spans="1:17" ht="33.75" customHeight="1">
      <c r="A388" s="16">
        <v>316</v>
      </c>
      <c r="B388" s="310" t="b">
        <v>0</v>
      </c>
      <c r="C388" s="12"/>
      <c r="D388" s="18"/>
      <c r="E388" s="14" t="s">
        <v>183</v>
      </c>
      <c r="F388" s="26"/>
      <c r="G388" s="38"/>
      <c r="H388" s="26" t="s">
        <v>70</v>
      </c>
      <c r="I388" s="12"/>
      <c r="J388" s="12"/>
      <c r="K388" s="242"/>
      <c r="L388" s="245"/>
      <c r="M388" s="25"/>
      <c r="N388" s="31"/>
      <c r="O388" s="32"/>
      <c r="P388" s="32"/>
      <c r="Q388" s="33"/>
    </row>
    <row r="389" spans="1:17" ht="33.75" customHeight="1">
      <c r="A389" s="16">
        <v>317</v>
      </c>
      <c r="B389" s="310" t="b">
        <v>0</v>
      </c>
      <c r="C389" s="12"/>
      <c r="D389" s="18"/>
      <c r="E389" s="14" t="s">
        <v>184</v>
      </c>
      <c r="F389" s="26"/>
      <c r="G389" s="38"/>
      <c r="H389" s="26" t="s">
        <v>70</v>
      </c>
      <c r="I389" s="12"/>
      <c r="J389" s="12"/>
      <c r="K389" s="242"/>
      <c r="L389" s="245"/>
      <c r="M389" s="25"/>
      <c r="N389" s="31"/>
      <c r="O389" s="32"/>
      <c r="P389" s="32"/>
      <c r="Q389" s="33"/>
    </row>
    <row r="390" spans="1:17" ht="33.75" customHeight="1">
      <c r="A390" s="16">
        <v>318</v>
      </c>
      <c r="B390" s="310" t="b">
        <v>0</v>
      </c>
      <c r="C390" s="12"/>
      <c r="D390" s="18"/>
      <c r="E390" s="14" t="s">
        <v>185</v>
      </c>
      <c r="F390" s="26"/>
      <c r="G390" s="38"/>
      <c r="H390" s="26" t="s">
        <v>70</v>
      </c>
      <c r="I390" s="12"/>
      <c r="J390" s="12"/>
      <c r="K390" s="242"/>
      <c r="L390" s="245"/>
      <c r="M390" s="25"/>
      <c r="N390" s="31"/>
      <c r="O390" s="32"/>
      <c r="P390" s="32"/>
      <c r="Q390" s="33"/>
    </row>
    <row r="391" spans="1:17" ht="33.75" customHeight="1">
      <c r="A391" s="16">
        <v>319</v>
      </c>
      <c r="B391" s="310" t="b">
        <v>0</v>
      </c>
      <c r="C391" s="12"/>
      <c r="D391" s="18"/>
      <c r="E391" s="14" t="s">
        <v>251</v>
      </c>
      <c r="F391" s="26"/>
      <c r="G391" s="38"/>
      <c r="H391" s="26" t="s">
        <v>70</v>
      </c>
      <c r="I391" s="12"/>
      <c r="J391" s="12"/>
      <c r="K391" s="242"/>
      <c r="L391" s="245"/>
      <c r="M391" s="25"/>
      <c r="N391" s="31"/>
      <c r="O391" s="32"/>
      <c r="P391" s="32"/>
      <c r="Q391" s="33"/>
    </row>
    <row r="392" spans="1:17" ht="33.75" customHeight="1">
      <c r="A392" s="16">
        <v>320</v>
      </c>
      <c r="B392" s="310" t="b">
        <v>0</v>
      </c>
      <c r="C392" s="12"/>
      <c r="D392" s="18"/>
      <c r="E392" s="14" t="s">
        <v>257</v>
      </c>
      <c r="F392" s="26"/>
      <c r="G392" s="38"/>
      <c r="H392" s="26" t="s">
        <v>70</v>
      </c>
      <c r="I392" s="12"/>
      <c r="J392" s="12"/>
      <c r="K392" s="242"/>
      <c r="L392" s="245"/>
      <c r="M392" s="25"/>
      <c r="N392" s="31"/>
      <c r="O392" s="32"/>
      <c r="P392" s="32"/>
      <c r="Q392" s="33"/>
    </row>
    <row r="393" spans="1:17" ht="33.75" customHeight="1">
      <c r="A393" s="16">
        <v>321</v>
      </c>
      <c r="B393" s="310" t="b">
        <v>0</v>
      </c>
      <c r="C393" s="12" t="s">
        <v>52</v>
      </c>
      <c r="D393" s="18"/>
      <c r="E393" s="56" t="s">
        <v>194</v>
      </c>
      <c r="F393" s="26"/>
      <c r="G393" s="38"/>
      <c r="H393" s="26" t="s">
        <v>70</v>
      </c>
      <c r="I393" s="12"/>
      <c r="J393" s="12"/>
      <c r="K393" s="242"/>
      <c r="L393" s="245"/>
      <c r="M393" s="25"/>
      <c r="N393" s="31" t="s">
        <v>63</v>
      </c>
      <c r="O393" s="32"/>
      <c r="P393" s="32"/>
      <c r="Q393" s="33"/>
    </row>
    <row r="394" spans="1:17" ht="33.75" customHeight="1">
      <c r="A394" s="16">
        <v>322</v>
      </c>
      <c r="B394" s="310" t="b">
        <v>0</v>
      </c>
      <c r="C394" s="12"/>
      <c r="D394" s="18"/>
      <c r="E394" s="14" t="s">
        <v>195</v>
      </c>
      <c r="F394" s="26"/>
      <c r="G394" s="38"/>
      <c r="H394" s="26" t="s">
        <v>70</v>
      </c>
      <c r="I394" s="12"/>
      <c r="J394" s="12"/>
      <c r="K394" s="242"/>
      <c r="L394" s="245"/>
      <c r="M394" s="25"/>
      <c r="N394" s="31"/>
      <c r="O394" s="32"/>
      <c r="P394" s="32"/>
      <c r="Q394" s="33"/>
    </row>
    <row r="395" spans="1:17" ht="33.75" customHeight="1">
      <c r="A395" s="16">
        <v>323</v>
      </c>
      <c r="B395" s="310" t="b">
        <v>0</v>
      </c>
      <c r="C395" s="12"/>
      <c r="D395" s="18"/>
      <c r="E395" s="14" t="s">
        <v>178</v>
      </c>
      <c r="F395" s="26"/>
      <c r="G395" s="38"/>
      <c r="H395" s="26" t="s">
        <v>70</v>
      </c>
      <c r="I395" s="12"/>
      <c r="J395" s="12"/>
      <c r="K395" s="242"/>
      <c r="L395" s="245"/>
      <c r="M395" s="25"/>
      <c r="N395" s="31"/>
      <c r="O395" s="32"/>
      <c r="P395" s="32"/>
      <c r="Q395" s="33"/>
    </row>
    <row r="396" spans="1:17" ht="33.75" customHeight="1">
      <c r="A396" s="16">
        <v>324</v>
      </c>
      <c r="B396" s="310" t="b">
        <v>0</v>
      </c>
      <c r="C396" s="12"/>
      <c r="D396" s="18"/>
      <c r="E396" s="14" t="s">
        <v>179</v>
      </c>
      <c r="F396" s="26"/>
      <c r="G396" s="38"/>
      <c r="H396" s="26" t="s">
        <v>70</v>
      </c>
      <c r="I396" s="12"/>
      <c r="J396" s="12"/>
      <c r="K396" s="242"/>
      <c r="L396" s="245"/>
      <c r="M396" s="25"/>
      <c r="N396" s="31"/>
      <c r="O396" s="32"/>
      <c r="P396" s="32"/>
      <c r="Q396" s="33"/>
    </row>
    <row r="397" spans="1:17" ht="33.75" customHeight="1">
      <c r="A397" s="16">
        <v>325</v>
      </c>
      <c r="B397" s="310" t="b">
        <v>0</v>
      </c>
      <c r="C397" s="12"/>
      <c r="D397" s="18"/>
      <c r="E397" s="14" t="s">
        <v>196</v>
      </c>
      <c r="F397" s="26"/>
      <c r="G397" s="38"/>
      <c r="H397" s="26" t="s">
        <v>70</v>
      </c>
      <c r="I397" s="12"/>
      <c r="J397" s="12"/>
      <c r="K397" s="242"/>
      <c r="L397" s="245"/>
      <c r="M397" s="25"/>
      <c r="N397" s="31"/>
      <c r="O397" s="32"/>
      <c r="P397" s="32"/>
      <c r="Q397" s="33"/>
    </row>
    <row r="398" spans="1:17" ht="33.75" customHeight="1">
      <c r="A398" s="16">
        <v>326</v>
      </c>
      <c r="B398" s="310" t="b">
        <v>0</v>
      </c>
      <c r="C398" s="12"/>
      <c r="D398" s="18"/>
      <c r="E398" s="14" t="s">
        <v>197</v>
      </c>
      <c r="F398" s="26"/>
      <c r="G398" s="38"/>
      <c r="H398" s="26" t="s">
        <v>70</v>
      </c>
      <c r="I398" s="12"/>
      <c r="J398" s="12"/>
      <c r="K398" s="242"/>
      <c r="L398" s="245"/>
      <c r="M398" s="25"/>
      <c r="N398" s="31"/>
      <c r="O398" s="32"/>
      <c r="P398" s="32"/>
      <c r="Q398" s="33"/>
    </row>
    <row r="399" spans="1:17" ht="33.75" customHeight="1">
      <c r="A399" s="16">
        <v>327</v>
      </c>
      <c r="B399" s="310" t="b">
        <v>0</v>
      </c>
      <c r="C399" s="12"/>
      <c r="D399" s="18"/>
      <c r="E399" s="14" t="s">
        <v>180</v>
      </c>
      <c r="F399" s="26"/>
      <c r="G399" s="38"/>
      <c r="H399" s="26" t="s">
        <v>70</v>
      </c>
      <c r="I399" s="12"/>
      <c r="J399" s="12"/>
      <c r="K399" s="242"/>
      <c r="L399" s="245"/>
      <c r="M399" s="25"/>
      <c r="N399" s="31"/>
      <c r="O399" s="32"/>
      <c r="P399" s="32"/>
      <c r="Q399" s="33"/>
    </row>
    <row r="400" spans="1:17" ht="33.75" customHeight="1">
      <c r="A400" s="16">
        <v>328</v>
      </c>
      <c r="B400" s="310" t="b">
        <v>0</v>
      </c>
      <c r="C400" s="12"/>
      <c r="D400" s="18"/>
      <c r="E400" s="14" t="s">
        <v>198</v>
      </c>
      <c r="F400" s="26"/>
      <c r="G400" s="38"/>
      <c r="H400" s="26" t="s">
        <v>70</v>
      </c>
      <c r="I400" s="12"/>
      <c r="J400" s="12"/>
      <c r="K400" s="242"/>
      <c r="L400" s="245"/>
      <c r="M400" s="25"/>
      <c r="N400" s="31"/>
      <c r="O400" s="32"/>
      <c r="P400" s="32"/>
      <c r="Q400" s="33"/>
    </row>
    <row r="401" spans="1:17" ht="33.75" customHeight="1">
      <c r="A401" s="16">
        <v>329</v>
      </c>
      <c r="B401" s="310" t="b">
        <v>0</v>
      </c>
      <c r="C401" s="12"/>
      <c r="D401" s="18"/>
      <c r="E401" s="14" t="s">
        <v>181</v>
      </c>
      <c r="F401" s="26"/>
      <c r="G401" s="38"/>
      <c r="H401" s="26" t="s">
        <v>70</v>
      </c>
      <c r="I401" s="12"/>
      <c r="J401" s="12"/>
      <c r="K401" s="242"/>
      <c r="L401" s="245"/>
      <c r="M401" s="25"/>
      <c r="N401" s="31"/>
      <c r="O401" s="32"/>
      <c r="P401" s="32"/>
      <c r="Q401" s="33"/>
    </row>
    <row r="402" spans="1:17" ht="33.75" customHeight="1">
      <c r="A402" s="16">
        <v>330</v>
      </c>
      <c r="B402" s="310" t="b">
        <v>0</v>
      </c>
      <c r="C402" s="12"/>
      <c r="D402" s="18"/>
      <c r="E402" s="14" t="s">
        <v>182</v>
      </c>
      <c r="F402" s="26"/>
      <c r="G402" s="38"/>
      <c r="H402" s="26" t="s">
        <v>70</v>
      </c>
      <c r="I402" s="12"/>
      <c r="J402" s="12"/>
      <c r="K402" s="242"/>
      <c r="L402" s="245"/>
      <c r="M402" s="25"/>
      <c r="N402" s="31"/>
      <c r="O402" s="32"/>
      <c r="P402" s="32"/>
      <c r="Q402" s="33"/>
    </row>
    <row r="403" spans="1:17" ht="33.75" customHeight="1">
      <c r="A403" s="16">
        <v>331</v>
      </c>
      <c r="B403" s="310" t="b">
        <v>0</v>
      </c>
      <c r="C403" s="12"/>
      <c r="D403" s="18"/>
      <c r="E403" s="14" t="s">
        <v>183</v>
      </c>
      <c r="F403" s="26"/>
      <c r="G403" s="38"/>
      <c r="H403" s="26" t="s">
        <v>70</v>
      </c>
      <c r="I403" s="12"/>
      <c r="J403" s="12"/>
      <c r="K403" s="242"/>
      <c r="L403" s="245"/>
      <c r="M403" s="25"/>
      <c r="N403" s="31"/>
      <c r="O403" s="32"/>
      <c r="P403" s="32"/>
      <c r="Q403" s="33"/>
    </row>
    <row r="404" spans="1:17" ht="33.75" customHeight="1">
      <c r="A404" s="16">
        <v>332</v>
      </c>
      <c r="B404" s="310" t="b">
        <v>0</v>
      </c>
      <c r="C404" s="12"/>
      <c r="D404" s="18"/>
      <c r="E404" s="14" t="s">
        <v>184</v>
      </c>
      <c r="F404" s="26"/>
      <c r="G404" s="38"/>
      <c r="H404" s="26" t="s">
        <v>70</v>
      </c>
      <c r="I404" s="12"/>
      <c r="J404" s="12"/>
      <c r="K404" s="242"/>
      <c r="L404" s="245"/>
      <c r="M404" s="25"/>
      <c r="N404" s="31"/>
      <c r="O404" s="32"/>
      <c r="P404" s="32"/>
      <c r="Q404" s="33"/>
    </row>
    <row r="405" spans="1:17" ht="33.75" customHeight="1">
      <c r="A405" s="16">
        <v>333</v>
      </c>
      <c r="B405" s="310" t="b">
        <v>0</v>
      </c>
      <c r="C405" s="12"/>
      <c r="D405" s="18"/>
      <c r="E405" s="14" t="s">
        <v>185</v>
      </c>
      <c r="F405" s="26"/>
      <c r="G405" s="38"/>
      <c r="H405" s="26" t="s">
        <v>70</v>
      </c>
      <c r="I405" s="12"/>
      <c r="J405" s="12"/>
      <c r="K405" s="242"/>
      <c r="L405" s="245"/>
      <c r="M405" s="25"/>
      <c r="N405" s="31"/>
      <c r="O405" s="32"/>
      <c r="P405" s="32"/>
      <c r="Q405" s="33"/>
    </row>
    <row r="406" spans="1:17" ht="33.75" customHeight="1">
      <c r="A406" s="16">
        <v>335</v>
      </c>
      <c r="B406" s="310" t="b">
        <v>0</v>
      </c>
      <c r="C406" s="12"/>
      <c r="D406" s="18"/>
      <c r="E406" s="14" t="s">
        <v>252</v>
      </c>
      <c r="F406" s="26"/>
      <c r="G406" s="38"/>
      <c r="H406" s="26" t="s">
        <v>70</v>
      </c>
      <c r="I406" s="12"/>
      <c r="J406" s="12"/>
      <c r="K406" s="242"/>
      <c r="L406" s="245"/>
      <c r="M406" s="25"/>
      <c r="N406" s="31"/>
      <c r="O406" s="32"/>
      <c r="P406" s="32"/>
      <c r="Q406" s="33"/>
    </row>
    <row r="407" spans="1:17" ht="33.75" customHeight="1">
      <c r="A407" s="16">
        <v>336</v>
      </c>
      <c r="B407" s="310" t="b">
        <v>0</v>
      </c>
      <c r="C407" s="12" t="s">
        <v>31</v>
      </c>
      <c r="D407" s="18"/>
      <c r="E407" s="14" t="s">
        <v>285</v>
      </c>
      <c r="F407" s="26"/>
      <c r="G407" s="38"/>
      <c r="H407" s="26" t="s">
        <v>70</v>
      </c>
      <c r="I407" s="12"/>
      <c r="J407" s="12"/>
      <c r="K407" s="242"/>
      <c r="L407" s="245"/>
      <c r="M407" s="25"/>
      <c r="N407" s="31"/>
      <c r="O407" s="32"/>
      <c r="P407" s="32"/>
      <c r="Q407" s="33"/>
    </row>
    <row r="408" spans="1:17" ht="33.75" customHeight="1">
      <c r="A408" s="16">
        <v>337</v>
      </c>
      <c r="B408" s="310" t="b">
        <v>0</v>
      </c>
      <c r="C408" s="12" t="s">
        <v>54</v>
      </c>
      <c r="D408" s="18"/>
      <c r="E408" s="14" t="s">
        <v>286</v>
      </c>
      <c r="F408" s="26"/>
      <c r="G408" s="38"/>
      <c r="H408" s="26" t="s">
        <v>70</v>
      </c>
      <c r="I408" s="12"/>
      <c r="J408" s="12"/>
      <c r="K408" s="242"/>
      <c r="L408" s="245"/>
      <c r="M408" s="25"/>
      <c r="N408" s="31"/>
      <c r="O408" s="32"/>
      <c r="P408" s="32"/>
      <c r="Q408" s="33"/>
    </row>
    <row r="409" spans="1:17" ht="33.75" customHeight="1">
      <c r="A409" s="16">
        <v>338</v>
      </c>
      <c r="B409" s="310" t="b">
        <v>0</v>
      </c>
      <c r="C409" s="12"/>
      <c r="D409" s="18"/>
      <c r="E409" s="14" t="s">
        <v>290</v>
      </c>
      <c r="F409" s="26"/>
      <c r="G409" s="38"/>
      <c r="H409" s="26" t="s">
        <v>70</v>
      </c>
      <c r="I409" s="12"/>
      <c r="J409" s="12"/>
      <c r="K409" s="242"/>
      <c r="L409" s="245"/>
      <c r="M409" s="25"/>
      <c r="N409" s="31" t="s">
        <v>62</v>
      </c>
      <c r="O409" s="32" t="s">
        <v>62</v>
      </c>
      <c r="P409" s="32" t="s">
        <v>62</v>
      </c>
      <c r="Q409" s="33" t="s">
        <v>62</v>
      </c>
    </row>
    <row r="410" spans="1:17" ht="33.75" customHeight="1">
      <c r="A410" s="16">
        <v>339</v>
      </c>
      <c r="B410" s="310" t="b">
        <v>0</v>
      </c>
      <c r="C410" s="12"/>
      <c r="D410" s="18"/>
      <c r="E410" s="14" t="s">
        <v>202</v>
      </c>
      <c r="F410" s="26"/>
      <c r="G410" s="38"/>
      <c r="H410" s="26" t="s">
        <v>72</v>
      </c>
      <c r="I410" s="12"/>
      <c r="J410" s="12"/>
      <c r="K410" s="242"/>
      <c r="L410" s="245"/>
      <c r="M410" s="25"/>
      <c r="N410" s="28"/>
      <c r="O410" s="32"/>
      <c r="P410" s="32"/>
      <c r="Q410" s="33"/>
    </row>
    <row r="411" spans="1:17" ht="33.75" customHeight="1">
      <c r="A411" s="16">
        <v>340</v>
      </c>
      <c r="B411" s="310" t="b">
        <v>0</v>
      </c>
      <c r="C411" s="12"/>
      <c r="D411" s="18"/>
      <c r="E411" s="14" t="s">
        <v>235</v>
      </c>
      <c r="F411" s="26"/>
      <c r="G411" s="38"/>
      <c r="H411" s="26" t="s">
        <v>72</v>
      </c>
      <c r="I411" s="12"/>
      <c r="J411" s="12"/>
      <c r="K411" s="242"/>
      <c r="L411" s="245"/>
      <c r="M411" s="25"/>
      <c r="N411" s="28" t="s">
        <v>382</v>
      </c>
      <c r="O411" s="32"/>
      <c r="P411" s="32"/>
      <c r="Q411" s="33"/>
    </row>
    <row r="412" spans="1:17" ht="33.75" customHeight="1">
      <c r="A412" s="16">
        <v>341</v>
      </c>
      <c r="B412" s="310" t="b">
        <v>0</v>
      </c>
      <c r="C412" s="12"/>
      <c r="D412" s="18"/>
      <c r="E412" s="14" t="s">
        <v>206</v>
      </c>
      <c r="F412" s="26"/>
      <c r="G412" s="38"/>
      <c r="H412" s="26" t="s">
        <v>72</v>
      </c>
      <c r="I412" s="12"/>
      <c r="J412" s="12"/>
      <c r="K412" s="242"/>
      <c r="L412" s="245"/>
      <c r="M412" s="25"/>
      <c r="N412" s="28" t="s">
        <v>401</v>
      </c>
      <c r="O412" s="32"/>
      <c r="P412" s="32"/>
      <c r="Q412" s="33"/>
    </row>
    <row r="413" spans="1:17" ht="33.75" customHeight="1">
      <c r="A413" s="16">
        <v>342</v>
      </c>
      <c r="B413" s="310" t="b">
        <v>0</v>
      </c>
      <c r="C413" s="12"/>
      <c r="D413" s="18"/>
      <c r="E413" s="14" t="s">
        <v>234</v>
      </c>
      <c r="F413" s="26"/>
      <c r="G413" s="38"/>
      <c r="H413" s="26" t="s">
        <v>72</v>
      </c>
      <c r="I413" s="12"/>
      <c r="J413" s="12"/>
      <c r="K413" s="242"/>
      <c r="L413" s="245"/>
      <c r="M413" s="25"/>
      <c r="N413" s="31"/>
      <c r="O413" s="32"/>
      <c r="P413" s="32"/>
      <c r="Q413" s="33"/>
    </row>
    <row r="414" spans="1:17" ht="33.75" customHeight="1">
      <c r="A414" s="16">
        <v>343</v>
      </c>
      <c r="B414" s="310" t="b">
        <v>0</v>
      </c>
      <c r="C414" s="12"/>
      <c r="D414" s="18"/>
      <c r="E414" s="14" t="s">
        <v>292</v>
      </c>
      <c r="F414" s="26"/>
      <c r="G414" s="38"/>
      <c r="H414" s="26" t="s">
        <v>70</v>
      </c>
      <c r="I414" s="12"/>
      <c r="J414" s="12"/>
      <c r="K414" s="242"/>
      <c r="L414" s="245"/>
      <c r="M414" s="25"/>
      <c r="N414" s="31"/>
      <c r="O414" s="32"/>
      <c r="P414" s="32"/>
      <c r="Q414" s="33"/>
    </row>
    <row r="415" spans="1:17" ht="33.75" customHeight="1">
      <c r="A415" s="16">
        <v>344</v>
      </c>
      <c r="B415" s="310" t="b">
        <v>0</v>
      </c>
      <c r="C415" s="12"/>
      <c r="D415" s="18"/>
      <c r="E415" s="14" t="s">
        <v>293</v>
      </c>
      <c r="F415" s="26"/>
      <c r="G415" s="38"/>
      <c r="H415" s="26" t="s">
        <v>70</v>
      </c>
      <c r="I415" s="12"/>
      <c r="J415" s="12"/>
      <c r="K415" s="242"/>
      <c r="L415" s="245"/>
      <c r="M415" s="25"/>
      <c r="N415" s="31"/>
      <c r="O415" s="32"/>
      <c r="P415" s="32"/>
      <c r="Q415" s="33"/>
    </row>
    <row r="416" spans="1:17" ht="33.75" customHeight="1">
      <c r="A416" s="16">
        <v>345</v>
      </c>
      <c r="B416" s="310" t="b">
        <v>0</v>
      </c>
      <c r="C416" s="12"/>
      <c r="D416" s="18"/>
      <c r="E416" s="14" t="s">
        <v>295</v>
      </c>
      <c r="F416" s="26"/>
      <c r="G416" s="38"/>
      <c r="H416" s="26" t="s">
        <v>70</v>
      </c>
      <c r="I416" s="12"/>
      <c r="J416" s="12"/>
      <c r="K416" s="242"/>
      <c r="L416" s="245"/>
      <c r="M416" s="25"/>
      <c r="N416" s="31"/>
      <c r="O416" s="32"/>
      <c r="P416" s="32"/>
      <c r="Q416" s="33"/>
    </row>
    <row r="417" spans="1:17" ht="33.75" customHeight="1">
      <c r="A417" s="16">
        <v>346</v>
      </c>
      <c r="B417" s="310" t="b">
        <v>0</v>
      </c>
      <c r="C417" s="12"/>
      <c r="D417" s="18"/>
      <c r="E417" s="14" t="s">
        <v>297</v>
      </c>
      <c r="F417" s="26"/>
      <c r="G417" s="38"/>
      <c r="H417" s="26" t="s">
        <v>70</v>
      </c>
      <c r="I417" s="12"/>
      <c r="J417" s="12"/>
      <c r="K417" s="242"/>
      <c r="L417" s="245"/>
      <c r="M417" s="25"/>
      <c r="N417" s="31"/>
      <c r="O417" s="32"/>
      <c r="P417" s="32"/>
      <c r="Q417" s="33"/>
    </row>
    <row r="418" spans="1:17" ht="33.75" customHeight="1">
      <c r="A418" s="16">
        <v>347</v>
      </c>
      <c r="B418" s="310" t="b">
        <v>0</v>
      </c>
      <c r="C418" s="12"/>
      <c r="D418" s="18"/>
      <c r="E418" s="14" t="s">
        <v>298</v>
      </c>
      <c r="F418" s="26"/>
      <c r="G418" s="38"/>
      <c r="H418" s="26" t="s">
        <v>70</v>
      </c>
      <c r="I418" s="12"/>
      <c r="J418" s="12"/>
      <c r="K418" s="242"/>
      <c r="L418" s="245"/>
      <c r="M418" s="25"/>
      <c r="N418" s="31"/>
      <c r="O418" s="32"/>
      <c r="P418" s="32"/>
      <c r="Q418" s="33"/>
    </row>
    <row r="419" spans="1:17" ht="33.75" customHeight="1">
      <c r="A419" s="16">
        <v>348</v>
      </c>
      <c r="B419" s="310" t="b">
        <v>0</v>
      </c>
      <c r="C419" s="12"/>
      <c r="D419" s="18"/>
      <c r="E419" s="14" t="s">
        <v>241</v>
      </c>
      <c r="F419" s="26"/>
      <c r="G419" s="38"/>
      <c r="H419" s="26" t="s">
        <v>70</v>
      </c>
      <c r="I419" s="12"/>
      <c r="J419" s="12"/>
      <c r="K419" s="242"/>
      <c r="L419" s="245"/>
      <c r="M419" s="25"/>
      <c r="N419" s="31" t="s">
        <v>67</v>
      </c>
      <c r="O419" s="32"/>
      <c r="P419" s="32"/>
      <c r="Q419" s="33"/>
    </row>
    <row r="420" spans="1:17" ht="33.75" customHeight="1">
      <c r="A420" s="16">
        <v>349</v>
      </c>
      <c r="B420" s="310" t="b">
        <v>0</v>
      </c>
      <c r="C420" s="12"/>
      <c r="D420" s="18"/>
      <c r="E420" s="14" t="s">
        <v>300</v>
      </c>
      <c r="F420" s="26"/>
      <c r="G420" s="38"/>
      <c r="H420" s="26" t="s">
        <v>70</v>
      </c>
      <c r="I420" s="12"/>
      <c r="J420" s="12"/>
      <c r="K420" s="242"/>
      <c r="L420" s="245"/>
      <c r="M420" s="25"/>
      <c r="N420" s="31"/>
      <c r="O420" s="32"/>
      <c r="P420" s="32"/>
      <c r="Q420" s="33"/>
    </row>
    <row r="421" spans="1:17" ht="33.75" customHeight="1">
      <c r="A421" s="16">
        <v>350</v>
      </c>
      <c r="B421" s="310" t="b">
        <v>0</v>
      </c>
      <c r="C421" s="12"/>
      <c r="D421" s="18"/>
      <c r="E421" s="14" t="s">
        <v>301</v>
      </c>
      <c r="F421" s="26"/>
      <c r="G421" s="38"/>
      <c r="H421" s="26" t="s">
        <v>70</v>
      </c>
      <c r="I421" s="12"/>
      <c r="J421" s="12"/>
      <c r="K421" s="242"/>
      <c r="L421" s="245"/>
      <c r="M421" s="25"/>
      <c r="N421" s="31"/>
      <c r="O421" s="32"/>
      <c r="P421" s="32"/>
      <c r="Q421" s="33"/>
    </row>
    <row r="422" spans="1:17" ht="33.75" customHeight="1">
      <c r="A422" s="16">
        <v>351</v>
      </c>
      <c r="B422" s="310" t="b">
        <v>0</v>
      </c>
      <c r="C422" s="12"/>
      <c r="D422" s="18"/>
      <c r="E422" s="14" t="s">
        <v>303</v>
      </c>
      <c r="F422" s="26"/>
      <c r="G422" s="38"/>
      <c r="H422" s="26" t="s">
        <v>70</v>
      </c>
      <c r="I422" s="12"/>
      <c r="J422" s="12"/>
      <c r="K422" s="242"/>
      <c r="L422" s="245"/>
      <c r="M422" s="25"/>
      <c r="N422" s="31"/>
      <c r="O422" s="32"/>
      <c r="P422" s="32"/>
      <c r="Q422" s="33"/>
    </row>
    <row r="423" spans="1:17" ht="33.75" customHeight="1">
      <c r="A423" s="16">
        <v>352</v>
      </c>
      <c r="B423" s="310" t="b">
        <v>0</v>
      </c>
      <c r="C423" s="12"/>
      <c r="D423" s="18"/>
      <c r="E423" s="14" t="s">
        <v>306</v>
      </c>
      <c r="F423" s="26"/>
      <c r="G423" s="38"/>
      <c r="H423" s="26" t="s">
        <v>70</v>
      </c>
      <c r="I423" s="12"/>
      <c r="J423" s="12"/>
      <c r="K423" s="242"/>
      <c r="L423" s="245"/>
      <c r="M423" s="25"/>
      <c r="N423" s="31"/>
      <c r="O423" s="32"/>
      <c r="P423" s="32"/>
      <c r="Q423" s="33"/>
    </row>
    <row r="424" spans="1:17" ht="33.75" customHeight="1">
      <c r="A424" s="16">
        <v>353</v>
      </c>
      <c r="B424" s="310" t="b">
        <v>0</v>
      </c>
      <c r="C424" s="12"/>
      <c r="D424" s="18"/>
      <c r="E424" s="14" t="s">
        <v>208</v>
      </c>
      <c r="F424" s="26"/>
      <c r="G424" s="38"/>
      <c r="H424" s="26" t="s">
        <v>70</v>
      </c>
      <c r="I424" s="12"/>
      <c r="J424" s="12"/>
      <c r="K424" s="242"/>
      <c r="L424" s="245"/>
      <c r="M424" s="25"/>
      <c r="N424" s="28" t="s">
        <v>382</v>
      </c>
      <c r="O424" s="32"/>
      <c r="P424" s="32"/>
      <c r="Q424" s="33"/>
    </row>
    <row r="425" spans="1:17" ht="33.75" customHeight="1">
      <c r="A425" s="16">
        <v>354</v>
      </c>
      <c r="B425" s="310" t="b">
        <v>0</v>
      </c>
      <c r="C425" s="12"/>
      <c r="D425" s="18"/>
      <c r="E425" s="14" t="s">
        <v>307</v>
      </c>
      <c r="F425" s="26"/>
      <c r="G425" s="38"/>
      <c r="H425" s="26" t="s">
        <v>70</v>
      </c>
      <c r="I425" s="12"/>
      <c r="J425" s="12"/>
      <c r="K425" s="242"/>
      <c r="L425" s="245"/>
      <c r="M425" s="25"/>
      <c r="N425" s="31"/>
      <c r="O425" s="32"/>
      <c r="P425" s="32"/>
      <c r="Q425" s="33"/>
    </row>
    <row r="426" spans="1:17" ht="33.75" customHeight="1">
      <c r="A426" s="16">
        <v>355</v>
      </c>
      <c r="B426" s="310" t="b">
        <v>0</v>
      </c>
      <c r="C426" s="12"/>
      <c r="D426" s="18"/>
      <c r="E426" s="14" t="s">
        <v>308</v>
      </c>
      <c r="F426" s="26"/>
      <c r="G426" s="38"/>
      <c r="H426" s="26" t="s">
        <v>70</v>
      </c>
      <c r="I426" s="12"/>
      <c r="J426" s="12"/>
      <c r="K426" s="242"/>
      <c r="L426" s="245"/>
      <c r="M426" s="25"/>
      <c r="N426" s="31"/>
      <c r="O426" s="32"/>
      <c r="P426" s="32"/>
      <c r="Q426" s="33"/>
    </row>
    <row r="427" spans="1:17" ht="33.75" customHeight="1">
      <c r="A427" s="16">
        <v>356</v>
      </c>
      <c r="B427" s="310" t="b">
        <v>0</v>
      </c>
      <c r="C427" s="12"/>
      <c r="D427" s="18"/>
      <c r="E427" s="14" t="s">
        <v>309</v>
      </c>
      <c r="F427" s="26"/>
      <c r="G427" s="38"/>
      <c r="H427" s="26" t="s">
        <v>70</v>
      </c>
      <c r="I427" s="12"/>
      <c r="J427" s="12"/>
      <c r="K427" s="242"/>
      <c r="L427" s="245"/>
      <c r="M427" s="25"/>
      <c r="N427" s="31"/>
      <c r="O427" s="32"/>
      <c r="P427" s="32"/>
      <c r="Q427" s="33"/>
    </row>
    <row r="428" spans="1:17" ht="33.75" customHeight="1">
      <c r="A428" s="16">
        <v>357</v>
      </c>
      <c r="B428" s="310" t="b">
        <v>0</v>
      </c>
      <c r="C428" s="12"/>
      <c r="D428" s="18"/>
      <c r="E428" s="14" t="s">
        <v>310</v>
      </c>
      <c r="F428" s="26"/>
      <c r="G428" s="38"/>
      <c r="H428" s="26" t="s">
        <v>70</v>
      </c>
      <c r="I428" s="12"/>
      <c r="J428" s="12"/>
      <c r="K428" s="242"/>
      <c r="L428" s="245"/>
      <c r="M428" s="25"/>
      <c r="N428" s="28" t="s">
        <v>382</v>
      </c>
      <c r="O428" s="32"/>
      <c r="P428" s="32"/>
      <c r="Q428" s="33"/>
    </row>
    <row r="429" spans="1:17" ht="33.75" customHeight="1">
      <c r="A429" s="16">
        <v>358</v>
      </c>
      <c r="B429" s="310" t="b">
        <v>0</v>
      </c>
      <c r="C429" s="12"/>
      <c r="D429" s="18"/>
      <c r="E429" s="14" t="s">
        <v>311</v>
      </c>
      <c r="F429" s="26"/>
      <c r="G429" s="38"/>
      <c r="H429" s="26" t="s">
        <v>70</v>
      </c>
      <c r="I429" s="12"/>
      <c r="J429" s="12"/>
      <c r="K429" s="242"/>
      <c r="L429" s="245"/>
      <c r="M429" s="25"/>
      <c r="N429" s="31"/>
      <c r="O429" s="32"/>
      <c r="P429" s="32"/>
      <c r="Q429" s="33"/>
    </row>
    <row r="430" spans="1:17" ht="33.75" customHeight="1">
      <c r="A430" s="16">
        <v>359</v>
      </c>
      <c r="B430" s="310" t="b">
        <v>0</v>
      </c>
      <c r="C430" s="12"/>
      <c r="D430" s="18"/>
      <c r="E430" s="14" t="s">
        <v>312</v>
      </c>
      <c r="F430" s="26"/>
      <c r="G430" s="38"/>
      <c r="H430" s="26" t="s">
        <v>70</v>
      </c>
      <c r="I430" s="12"/>
      <c r="J430" s="12"/>
      <c r="K430" s="242"/>
      <c r="L430" s="245"/>
      <c r="M430" s="25"/>
      <c r="N430" s="31"/>
      <c r="O430" s="32"/>
      <c r="P430" s="32"/>
      <c r="Q430" s="33"/>
    </row>
    <row r="431" spans="1:17" ht="33.75" customHeight="1">
      <c r="A431" s="16">
        <v>360</v>
      </c>
      <c r="B431" s="310" t="b">
        <v>0</v>
      </c>
      <c r="C431" s="12"/>
      <c r="D431" s="18"/>
      <c r="E431" s="14" t="s">
        <v>313</v>
      </c>
      <c r="F431" s="26"/>
      <c r="G431" s="38"/>
      <c r="H431" s="26" t="s">
        <v>70</v>
      </c>
      <c r="I431" s="12"/>
      <c r="J431" s="12"/>
      <c r="K431" s="242"/>
      <c r="L431" s="245"/>
      <c r="M431" s="25"/>
      <c r="N431" s="31"/>
      <c r="O431" s="32"/>
      <c r="P431" s="32"/>
      <c r="Q431" s="33"/>
    </row>
    <row r="432" spans="1:17" ht="33.75" customHeight="1">
      <c r="A432" s="16">
        <v>361</v>
      </c>
      <c r="B432" s="310" t="b">
        <v>0</v>
      </c>
      <c r="C432" s="12"/>
      <c r="D432" s="18"/>
      <c r="E432" s="14" t="s">
        <v>314</v>
      </c>
      <c r="F432" s="26"/>
      <c r="G432" s="38"/>
      <c r="H432" s="26" t="s">
        <v>70</v>
      </c>
      <c r="I432" s="12"/>
      <c r="J432" s="12"/>
      <c r="K432" s="242"/>
      <c r="L432" s="245"/>
      <c r="M432" s="25"/>
      <c r="N432" s="31"/>
      <c r="O432" s="32"/>
      <c r="P432" s="32"/>
      <c r="Q432" s="33"/>
    </row>
    <row r="433" spans="1:17" ht="33.75" customHeight="1">
      <c r="A433" s="16">
        <v>362</v>
      </c>
      <c r="B433" s="310" t="b">
        <v>0</v>
      </c>
      <c r="C433" s="12"/>
      <c r="D433" s="18"/>
      <c r="E433" s="14" t="s">
        <v>315</v>
      </c>
      <c r="F433" s="26"/>
      <c r="G433" s="38"/>
      <c r="H433" s="26" t="s">
        <v>70</v>
      </c>
      <c r="I433" s="12"/>
      <c r="J433" s="12"/>
      <c r="K433" s="242"/>
      <c r="L433" s="245"/>
      <c r="M433" s="25"/>
      <c r="N433" s="31"/>
      <c r="O433" s="32"/>
      <c r="P433" s="32"/>
      <c r="Q433" s="33"/>
    </row>
    <row r="434" spans="1:17" ht="33.75" customHeight="1">
      <c r="A434" s="16">
        <v>363</v>
      </c>
      <c r="B434" s="310" t="b">
        <v>0</v>
      </c>
      <c r="C434" s="12"/>
      <c r="D434" s="18"/>
      <c r="E434" s="14" t="s">
        <v>316</v>
      </c>
      <c r="F434" s="26"/>
      <c r="G434" s="38"/>
      <c r="H434" s="26" t="s">
        <v>70</v>
      </c>
      <c r="I434" s="12"/>
      <c r="J434" s="12"/>
      <c r="K434" s="242"/>
      <c r="L434" s="245"/>
      <c r="M434" s="25"/>
      <c r="N434" s="31"/>
      <c r="O434" s="32"/>
      <c r="P434" s="32"/>
      <c r="Q434" s="33"/>
    </row>
    <row r="435" spans="1:17" ht="33.75" customHeight="1">
      <c r="A435" s="16">
        <v>364</v>
      </c>
      <c r="B435" s="310" t="b">
        <v>0</v>
      </c>
      <c r="C435" s="12" t="s">
        <v>61</v>
      </c>
      <c r="D435" s="18"/>
      <c r="E435" s="14" t="s">
        <v>317</v>
      </c>
      <c r="F435" s="26"/>
      <c r="G435" s="38"/>
      <c r="H435" s="26" t="s">
        <v>70</v>
      </c>
      <c r="I435" s="12"/>
      <c r="J435" s="12"/>
      <c r="K435" s="242"/>
      <c r="L435" s="245"/>
      <c r="M435" s="25"/>
      <c r="N435" s="31"/>
      <c r="O435" s="32"/>
      <c r="P435" s="32"/>
      <c r="Q435" s="33"/>
    </row>
    <row r="436" spans="1:17" ht="33.75" customHeight="1">
      <c r="A436" s="16">
        <v>365</v>
      </c>
      <c r="B436" s="310" t="b">
        <v>0</v>
      </c>
      <c r="C436" s="12"/>
      <c r="D436" s="18"/>
      <c r="E436" s="14" t="s">
        <v>318</v>
      </c>
      <c r="F436" s="26"/>
      <c r="G436" s="38"/>
      <c r="H436" s="26" t="s">
        <v>70</v>
      </c>
      <c r="I436" s="12"/>
      <c r="J436" s="12"/>
      <c r="K436" s="242"/>
      <c r="L436" s="245"/>
      <c r="M436" s="25"/>
      <c r="N436" s="31"/>
      <c r="O436" s="32"/>
      <c r="P436" s="32"/>
      <c r="Q436" s="33"/>
    </row>
    <row r="437" spans="1:17" ht="33.75" customHeight="1">
      <c r="A437" s="16">
        <v>366</v>
      </c>
      <c r="B437" s="310" t="b">
        <v>0</v>
      </c>
      <c r="C437" s="12"/>
      <c r="D437" s="18"/>
      <c r="E437" s="14" t="s">
        <v>319</v>
      </c>
      <c r="F437" s="26"/>
      <c r="G437" s="38"/>
      <c r="H437" s="26" t="s">
        <v>70</v>
      </c>
      <c r="I437" s="12"/>
      <c r="J437" s="12"/>
      <c r="K437" s="242"/>
      <c r="L437" s="245"/>
      <c r="M437" s="25"/>
      <c r="N437" s="31"/>
      <c r="O437" s="32"/>
      <c r="P437" s="32"/>
      <c r="Q437" s="33"/>
    </row>
    <row r="438" spans="1:17" ht="33.75" customHeight="1">
      <c r="A438" s="16">
        <v>367</v>
      </c>
      <c r="B438" s="310" t="b">
        <v>0</v>
      </c>
      <c r="C438" s="12"/>
      <c r="D438" s="18"/>
      <c r="E438" s="14" t="s">
        <v>322</v>
      </c>
      <c r="F438" s="26"/>
      <c r="G438" s="38"/>
      <c r="H438" s="26" t="s">
        <v>70</v>
      </c>
      <c r="I438" s="12"/>
      <c r="J438" s="12"/>
      <c r="K438" s="242"/>
      <c r="L438" s="245"/>
      <c r="M438" s="25"/>
      <c r="N438" s="31"/>
      <c r="O438" s="32"/>
      <c r="P438" s="32"/>
      <c r="Q438" s="33"/>
    </row>
    <row r="439" spans="1:17" ht="33.75" customHeight="1">
      <c r="A439" s="16">
        <v>368</v>
      </c>
      <c r="B439" s="310" t="b">
        <v>0</v>
      </c>
      <c r="C439" s="12"/>
      <c r="D439" s="18"/>
      <c r="E439" s="14" t="s">
        <v>323</v>
      </c>
      <c r="F439" s="26"/>
      <c r="G439" s="38"/>
      <c r="H439" s="26" t="s">
        <v>70</v>
      </c>
      <c r="I439" s="12"/>
      <c r="J439" s="12"/>
      <c r="K439" s="242"/>
      <c r="L439" s="245"/>
      <c r="M439" s="25"/>
      <c r="N439" s="31"/>
      <c r="O439" s="32"/>
      <c r="P439" s="32"/>
      <c r="Q439" s="33"/>
    </row>
    <row r="440" spans="1:17" ht="33.75" customHeight="1">
      <c r="A440" s="16">
        <v>369</v>
      </c>
      <c r="B440" s="310" t="b">
        <v>0</v>
      </c>
      <c r="C440" s="12"/>
      <c r="D440" s="18"/>
      <c r="E440" s="14" t="s">
        <v>327</v>
      </c>
      <c r="F440" s="26"/>
      <c r="G440" s="38"/>
      <c r="H440" s="26" t="s">
        <v>70</v>
      </c>
      <c r="I440" s="12"/>
      <c r="J440" s="12"/>
      <c r="K440" s="242"/>
      <c r="L440" s="245"/>
      <c r="M440" s="25"/>
      <c r="N440" s="31"/>
      <c r="O440" s="32"/>
      <c r="P440" s="32"/>
      <c r="Q440" s="33"/>
    </row>
    <row r="441" spans="1:17" ht="33.75" customHeight="1">
      <c r="A441" s="16">
        <v>370</v>
      </c>
      <c r="B441" s="310" t="b">
        <v>0</v>
      </c>
      <c r="C441" s="12"/>
      <c r="D441" s="18"/>
      <c r="E441" s="14" t="s">
        <v>327</v>
      </c>
      <c r="F441" s="26"/>
      <c r="G441" s="38"/>
      <c r="H441" s="26" t="s">
        <v>70</v>
      </c>
      <c r="I441" s="12"/>
      <c r="J441" s="12"/>
      <c r="K441" s="242"/>
      <c r="L441" s="245"/>
      <c r="M441" s="25"/>
      <c r="N441" s="31"/>
      <c r="O441" s="32"/>
      <c r="P441" s="32"/>
      <c r="Q441" s="33"/>
    </row>
    <row r="442" spans="1:17" ht="33.75" customHeight="1">
      <c r="A442" s="16">
        <v>371</v>
      </c>
      <c r="B442" s="310" t="b">
        <v>0</v>
      </c>
      <c r="C442" s="12"/>
      <c r="D442" s="18"/>
      <c r="E442" s="14" t="s">
        <v>328</v>
      </c>
      <c r="F442" s="26"/>
      <c r="G442" s="38"/>
      <c r="H442" s="26" t="s">
        <v>70</v>
      </c>
      <c r="I442" s="12"/>
      <c r="J442" s="12"/>
      <c r="K442" s="242"/>
      <c r="L442" s="245"/>
      <c r="M442" s="25"/>
      <c r="N442" s="31"/>
      <c r="O442" s="32"/>
      <c r="P442" s="32"/>
      <c r="Q442" s="33"/>
    </row>
    <row r="443" spans="1:17" ht="33.75" customHeight="1">
      <c r="A443" s="16">
        <v>372</v>
      </c>
      <c r="B443" s="310" t="b">
        <v>0</v>
      </c>
      <c r="C443" s="12"/>
      <c r="D443" s="18"/>
      <c r="E443" s="14" t="s">
        <v>236</v>
      </c>
      <c r="F443" s="26"/>
      <c r="G443" s="38"/>
      <c r="H443" s="26" t="s">
        <v>70</v>
      </c>
      <c r="I443" s="12"/>
      <c r="J443" s="12"/>
      <c r="K443" s="242"/>
      <c r="L443" s="245"/>
      <c r="M443" s="25"/>
      <c r="N443" s="31"/>
      <c r="O443" s="32"/>
      <c r="P443" s="32"/>
      <c r="Q443" s="33"/>
    </row>
    <row r="444" spans="1:17" ht="33.75" customHeight="1">
      <c r="A444" s="16">
        <v>373</v>
      </c>
      <c r="B444" s="310" t="b">
        <v>0</v>
      </c>
      <c r="C444" s="12"/>
      <c r="D444" s="18"/>
      <c r="E444" s="14" t="s">
        <v>250</v>
      </c>
      <c r="F444" s="26"/>
      <c r="G444" s="38"/>
      <c r="H444" s="26" t="s">
        <v>72</v>
      </c>
      <c r="I444" s="12"/>
      <c r="J444" s="12"/>
      <c r="K444" s="242"/>
      <c r="L444" s="245"/>
      <c r="M444" s="25"/>
      <c r="N444" s="28" t="s">
        <v>245</v>
      </c>
      <c r="O444" s="32"/>
      <c r="P444" s="32"/>
      <c r="Q444" s="33"/>
    </row>
    <row r="445" spans="1:17" ht="33.75" customHeight="1">
      <c r="A445" s="16">
        <v>374</v>
      </c>
      <c r="B445" s="310" t="b">
        <v>0</v>
      </c>
      <c r="C445" s="12"/>
      <c r="D445" s="18"/>
      <c r="E445" s="14" t="s">
        <v>249</v>
      </c>
      <c r="F445" s="26"/>
      <c r="G445" s="38"/>
      <c r="H445" s="26" t="s">
        <v>72</v>
      </c>
      <c r="I445" s="12"/>
      <c r="J445" s="12"/>
      <c r="K445" s="242"/>
      <c r="L445" s="245"/>
      <c r="M445" s="25"/>
      <c r="N445" s="28" t="s">
        <v>382</v>
      </c>
      <c r="O445" s="32"/>
      <c r="P445" s="32"/>
      <c r="Q445" s="33"/>
    </row>
    <row r="446" spans="1:17" ht="33.75" customHeight="1">
      <c r="A446" s="16">
        <v>375</v>
      </c>
      <c r="B446" s="310" t="b">
        <v>0</v>
      </c>
      <c r="C446" s="12"/>
      <c r="D446" s="18"/>
      <c r="E446" s="14" t="s">
        <v>249</v>
      </c>
      <c r="F446" s="26"/>
      <c r="G446" s="38"/>
      <c r="H446" s="26" t="s">
        <v>72</v>
      </c>
      <c r="I446" s="12"/>
      <c r="J446" s="12"/>
      <c r="K446" s="242"/>
      <c r="L446" s="245"/>
      <c r="M446" s="25"/>
      <c r="N446" s="28" t="s">
        <v>382</v>
      </c>
      <c r="O446" s="32"/>
      <c r="P446" s="32"/>
      <c r="Q446" s="33"/>
    </row>
    <row r="447" spans="1:17" ht="33.75" customHeight="1">
      <c r="A447" s="16">
        <v>376</v>
      </c>
      <c r="B447" s="310" t="b">
        <v>0</v>
      </c>
      <c r="C447" s="12"/>
      <c r="D447" s="18"/>
      <c r="E447" s="14" t="s">
        <v>249</v>
      </c>
      <c r="F447" s="26"/>
      <c r="G447" s="38"/>
      <c r="H447" s="26" t="s">
        <v>72</v>
      </c>
      <c r="I447" s="12"/>
      <c r="J447" s="12"/>
      <c r="K447" s="242"/>
      <c r="L447" s="245"/>
      <c r="M447" s="25"/>
      <c r="N447" s="28" t="s">
        <v>382</v>
      </c>
      <c r="O447" s="32"/>
      <c r="P447" s="32"/>
      <c r="Q447" s="33"/>
    </row>
    <row r="448" spans="1:17" ht="33.75" customHeight="1">
      <c r="A448" s="16">
        <v>377</v>
      </c>
      <c r="B448" s="310" t="b">
        <v>0</v>
      </c>
      <c r="C448" s="12"/>
      <c r="D448" s="18"/>
      <c r="E448" s="14" t="s">
        <v>260</v>
      </c>
      <c r="F448" s="26"/>
      <c r="G448" s="38"/>
      <c r="H448" s="26" t="s">
        <v>70</v>
      </c>
      <c r="I448" s="12"/>
      <c r="J448" s="12"/>
      <c r="K448" s="242"/>
      <c r="L448" s="245"/>
      <c r="M448" s="25"/>
      <c r="N448" s="31"/>
      <c r="O448" s="32"/>
      <c r="P448" s="32"/>
      <c r="Q448" s="33"/>
    </row>
    <row r="449" spans="1:17" ht="33.75" customHeight="1">
      <c r="A449" s="16">
        <v>378</v>
      </c>
      <c r="B449" s="310" t="b">
        <v>0</v>
      </c>
      <c r="C449" s="12"/>
      <c r="D449" s="18" t="s">
        <v>362</v>
      </c>
      <c r="E449" s="14" t="s">
        <v>363</v>
      </c>
      <c r="F449" s="26"/>
      <c r="G449" s="38"/>
      <c r="H449" s="26" t="s">
        <v>72</v>
      </c>
      <c r="I449" s="12"/>
      <c r="J449" s="12"/>
      <c r="K449" s="242"/>
      <c r="L449" s="245"/>
      <c r="M449" s="25"/>
      <c r="N449" s="31"/>
      <c r="O449" s="32"/>
      <c r="P449" s="32"/>
      <c r="Q449" s="33"/>
    </row>
    <row r="450" spans="1:17" ht="33.75" customHeight="1">
      <c r="A450" s="16">
        <v>379</v>
      </c>
      <c r="B450" s="310" t="b">
        <v>0</v>
      </c>
      <c r="C450" s="12"/>
      <c r="D450" s="18" t="s">
        <v>364</v>
      </c>
      <c r="E450" s="14" t="s">
        <v>365</v>
      </c>
      <c r="F450" s="26"/>
      <c r="G450" s="38"/>
      <c r="H450" s="26" t="s">
        <v>72</v>
      </c>
      <c r="I450" s="12"/>
      <c r="J450" s="12"/>
      <c r="K450" s="242"/>
      <c r="L450" s="245"/>
      <c r="M450" s="25"/>
      <c r="N450" s="31"/>
      <c r="O450" s="32"/>
      <c r="P450" s="32"/>
      <c r="Q450" s="33"/>
    </row>
    <row r="451" spans="1:17" ht="33.75" customHeight="1">
      <c r="A451" s="16">
        <v>380</v>
      </c>
      <c r="B451" s="310" t="b">
        <v>0</v>
      </c>
      <c r="C451" s="12"/>
      <c r="D451" s="18" t="s">
        <v>366</v>
      </c>
      <c r="E451" s="14" t="s">
        <v>367</v>
      </c>
      <c r="F451" s="26"/>
      <c r="G451" s="38"/>
      <c r="H451" s="26" t="s">
        <v>72</v>
      </c>
      <c r="I451" s="12"/>
      <c r="J451" s="12"/>
      <c r="K451" s="242"/>
      <c r="L451" s="245"/>
      <c r="M451" s="25"/>
      <c r="N451" s="31"/>
      <c r="O451" s="32"/>
      <c r="P451" s="32"/>
      <c r="Q451" s="33"/>
    </row>
    <row r="452" spans="1:17" ht="33.75" customHeight="1">
      <c r="A452" s="16">
        <v>381</v>
      </c>
      <c r="B452" s="310" t="b">
        <v>0</v>
      </c>
      <c r="C452" s="12"/>
      <c r="D452" s="18" t="s">
        <v>368</v>
      </c>
      <c r="E452" s="14" t="s">
        <v>369</v>
      </c>
      <c r="F452" s="26"/>
      <c r="G452" s="38"/>
      <c r="H452" s="26" t="s">
        <v>72</v>
      </c>
      <c r="I452" s="12"/>
      <c r="J452" s="12"/>
      <c r="K452" s="242"/>
      <c r="L452" s="245"/>
      <c r="M452" s="25"/>
      <c r="N452" s="31"/>
      <c r="O452" s="32"/>
      <c r="P452" s="32"/>
      <c r="Q452" s="33"/>
    </row>
    <row r="453" spans="1:17" ht="33.75" customHeight="1">
      <c r="A453" s="16">
        <v>382</v>
      </c>
      <c r="B453" s="310" t="b">
        <v>0</v>
      </c>
      <c r="C453" s="12"/>
      <c r="D453" s="18"/>
      <c r="E453" s="14" t="s">
        <v>324</v>
      </c>
      <c r="F453" s="26"/>
      <c r="G453" s="38"/>
      <c r="H453" s="26" t="s">
        <v>70</v>
      </c>
      <c r="I453" s="12"/>
      <c r="J453" s="12"/>
      <c r="K453" s="242"/>
      <c r="L453" s="245"/>
      <c r="M453" s="25"/>
      <c r="N453" s="31"/>
      <c r="O453" s="32"/>
      <c r="P453" s="32"/>
      <c r="Q453" s="33"/>
    </row>
    <row r="454" spans="1:17" ht="33.75" customHeight="1">
      <c r="A454" s="16">
        <v>383</v>
      </c>
      <c r="B454" s="310" t="b">
        <v>0</v>
      </c>
      <c r="C454" s="12"/>
      <c r="D454" s="18"/>
      <c r="E454" s="14" t="s">
        <v>325</v>
      </c>
      <c r="F454" s="26"/>
      <c r="G454" s="38"/>
      <c r="H454" s="26" t="s">
        <v>70</v>
      </c>
      <c r="I454" s="12"/>
      <c r="J454" s="12"/>
      <c r="K454" s="242"/>
      <c r="L454" s="245"/>
      <c r="M454" s="25"/>
      <c r="N454" s="28" t="s">
        <v>382</v>
      </c>
      <c r="O454" s="32"/>
      <c r="P454" s="32"/>
      <c r="Q454" s="33"/>
    </row>
    <row r="455" spans="1:17" ht="33.75" customHeight="1">
      <c r="A455" s="16">
        <v>384</v>
      </c>
      <c r="B455" s="310" t="b">
        <v>0</v>
      </c>
      <c r="C455" s="12"/>
      <c r="D455" s="18"/>
      <c r="E455" s="154" t="s">
        <v>173</v>
      </c>
      <c r="F455" s="26"/>
      <c r="G455" s="38"/>
      <c r="H455" s="26" t="s">
        <v>396</v>
      </c>
      <c r="I455" s="12"/>
      <c r="J455" s="12"/>
      <c r="K455" s="242"/>
      <c r="L455" s="245"/>
      <c r="M455" s="25"/>
      <c r="N455" s="31"/>
      <c r="O455" s="32"/>
      <c r="P455" s="32"/>
      <c r="Q455" s="33"/>
    </row>
    <row r="456" spans="1:17" ht="33.75" customHeight="1">
      <c r="A456" s="16">
        <v>385</v>
      </c>
      <c r="B456" s="310" t="b">
        <v>0</v>
      </c>
      <c r="C456" s="12"/>
      <c r="D456" s="18"/>
      <c r="E456" s="154" t="s">
        <v>172</v>
      </c>
      <c r="F456" s="26"/>
      <c r="G456" s="38"/>
      <c r="H456" s="26" t="s">
        <v>396</v>
      </c>
      <c r="I456" s="12"/>
      <c r="J456" s="12"/>
      <c r="K456" s="242"/>
      <c r="L456" s="245"/>
      <c r="M456" s="25"/>
      <c r="N456" s="31"/>
      <c r="O456" s="32"/>
      <c r="P456" s="32"/>
      <c r="Q456" s="33"/>
    </row>
    <row r="457" spans="1:17" ht="33.75" customHeight="1">
      <c r="A457" s="16">
        <v>386</v>
      </c>
      <c r="B457" s="310" t="b">
        <v>0</v>
      </c>
      <c r="C457" s="12"/>
      <c r="D457" s="18"/>
      <c r="E457" s="154" t="s">
        <v>172</v>
      </c>
      <c r="F457" s="26"/>
      <c r="G457" s="38"/>
      <c r="H457" s="26" t="s">
        <v>396</v>
      </c>
      <c r="I457" s="12"/>
      <c r="J457" s="12"/>
      <c r="K457" s="242"/>
      <c r="L457" s="245"/>
      <c r="M457" s="25"/>
      <c r="N457" s="31"/>
      <c r="O457" s="32"/>
      <c r="P457" s="32"/>
      <c r="Q457" s="33"/>
    </row>
    <row r="458" spans="1:17" ht="33.75" customHeight="1">
      <c r="A458" s="16">
        <v>387</v>
      </c>
      <c r="B458" s="310" t="b">
        <v>0</v>
      </c>
      <c r="C458" s="12"/>
      <c r="D458" s="18"/>
      <c r="E458" s="154" t="s">
        <v>172</v>
      </c>
      <c r="F458" s="26"/>
      <c r="G458" s="38"/>
      <c r="H458" s="26" t="s">
        <v>396</v>
      </c>
      <c r="I458" s="12"/>
      <c r="J458" s="12"/>
      <c r="K458" s="242"/>
      <c r="L458" s="245"/>
      <c r="M458" s="25"/>
      <c r="N458" s="31"/>
      <c r="O458" s="32"/>
      <c r="P458" s="32"/>
      <c r="Q458" s="33"/>
    </row>
    <row r="459" spans="1:17" ht="33.75" customHeight="1">
      <c r="A459" s="16">
        <v>388</v>
      </c>
      <c r="B459" s="310" t="b">
        <v>0</v>
      </c>
      <c r="C459" s="12"/>
      <c r="D459" s="18"/>
      <c r="E459" s="154" t="s">
        <v>172</v>
      </c>
      <c r="F459" s="26"/>
      <c r="G459" s="38"/>
      <c r="H459" s="26" t="s">
        <v>396</v>
      </c>
      <c r="I459" s="12"/>
      <c r="J459" s="12"/>
      <c r="K459" s="242"/>
      <c r="L459" s="245"/>
      <c r="M459" s="25"/>
      <c r="N459" s="31"/>
      <c r="O459" s="32"/>
      <c r="P459" s="32"/>
      <c r="Q459" s="33"/>
    </row>
    <row r="460" spans="1:17" ht="33.75" customHeight="1">
      <c r="A460" s="16">
        <v>389</v>
      </c>
      <c r="B460" s="310" t="b">
        <v>0</v>
      </c>
      <c r="C460" s="12"/>
      <c r="D460" s="18"/>
      <c r="E460" s="154" t="s">
        <v>172</v>
      </c>
      <c r="F460" s="26"/>
      <c r="G460" s="38"/>
      <c r="H460" s="26" t="s">
        <v>396</v>
      </c>
      <c r="I460" s="12"/>
      <c r="J460" s="12"/>
      <c r="K460" s="242"/>
      <c r="L460" s="245"/>
      <c r="M460" s="25"/>
      <c r="N460" s="31"/>
      <c r="O460" s="32"/>
      <c r="P460" s="32"/>
      <c r="Q460" s="33"/>
    </row>
    <row r="461" spans="1:17" ht="33.75" customHeight="1">
      <c r="A461" s="16">
        <v>390</v>
      </c>
      <c r="B461" s="310" t="b">
        <v>0</v>
      </c>
      <c r="C461" s="12"/>
      <c r="D461" s="18"/>
      <c r="E461" s="154" t="s">
        <v>172</v>
      </c>
      <c r="F461" s="26"/>
      <c r="G461" s="38"/>
      <c r="H461" s="26" t="s">
        <v>396</v>
      </c>
      <c r="I461" s="12"/>
      <c r="J461" s="12"/>
      <c r="K461" s="242"/>
      <c r="L461" s="245"/>
      <c r="M461" s="25"/>
      <c r="N461" s="31"/>
      <c r="O461" s="32"/>
      <c r="P461" s="32"/>
      <c r="Q461" s="33"/>
    </row>
    <row r="462" spans="1:17" ht="33.75" customHeight="1">
      <c r="A462" s="16">
        <v>391</v>
      </c>
      <c r="B462" s="310" t="b">
        <v>0</v>
      </c>
      <c r="C462" s="12"/>
      <c r="D462" s="18"/>
      <c r="E462" s="154" t="s">
        <v>406</v>
      </c>
      <c r="F462" s="26"/>
      <c r="G462" s="38"/>
      <c r="H462" s="26" t="s">
        <v>396</v>
      </c>
      <c r="I462" s="12"/>
      <c r="J462" s="12"/>
      <c r="K462" s="242"/>
      <c r="L462" s="245"/>
      <c r="M462" s="181" t="s">
        <v>420</v>
      </c>
      <c r="N462" s="31"/>
      <c r="O462" s="32"/>
      <c r="P462" s="32"/>
      <c r="Q462" s="33"/>
    </row>
    <row r="463" spans="1:17" ht="33.75" customHeight="1">
      <c r="A463" s="16">
        <v>392</v>
      </c>
      <c r="B463" s="310" t="b">
        <v>0</v>
      </c>
      <c r="C463" s="12"/>
      <c r="D463" s="18"/>
      <c r="E463" s="154" t="s">
        <v>406</v>
      </c>
      <c r="F463" s="26"/>
      <c r="G463" s="38"/>
      <c r="H463" s="26" t="s">
        <v>396</v>
      </c>
      <c r="I463" s="12"/>
      <c r="J463" s="12"/>
      <c r="K463" s="242"/>
      <c r="L463" s="245"/>
      <c r="M463" s="181" t="s">
        <v>420</v>
      </c>
      <c r="N463" s="31"/>
      <c r="O463" s="32"/>
      <c r="P463" s="32"/>
      <c r="Q463" s="33"/>
    </row>
    <row r="464" spans="1:17" ht="33.75" customHeight="1">
      <c r="A464" s="16">
        <v>393</v>
      </c>
      <c r="B464" s="310" t="b">
        <v>0</v>
      </c>
      <c r="C464" s="12"/>
      <c r="D464" s="18"/>
      <c r="E464" s="154" t="s">
        <v>406</v>
      </c>
      <c r="F464" s="26"/>
      <c r="G464" s="38"/>
      <c r="H464" s="26" t="s">
        <v>396</v>
      </c>
      <c r="I464" s="12"/>
      <c r="J464" s="12"/>
      <c r="K464" s="242"/>
      <c r="L464" s="245"/>
      <c r="M464" s="181" t="s">
        <v>420</v>
      </c>
      <c r="N464" s="31"/>
      <c r="O464" s="32"/>
      <c r="P464" s="32"/>
      <c r="Q464" s="33"/>
    </row>
    <row r="465" spans="1:17" ht="33.75" customHeight="1">
      <c r="A465" s="16">
        <v>394</v>
      </c>
      <c r="B465" s="310" t="b">
        <v>0</v>
      </c>
      <c r="C465" s="12"/>
      <c r="D465" s="18"/>
      <c r="E465" s="154" t="s">
        <v>407</v>
      </c>
      <c r="F465" s="26"/>
      <c r="G465" s="38"/>
      <c r="H465" s="26" t="s">
        <v>396</v>
      </c>
      <c r="I465" s="12"/>
      <c r="J465" s="12"/>
      <c r="K465" s="242"/>
      <c r="L465" s="245"/>
      <c r="M465" s="181" t="s">
        <v>420</v>
      </c>
      <c r="N465" s="31"/>
      <c r="O465" s="32"/>
      <c r="P465" s="32"/>
      <c r="Q465" s="33"/>
    </row>
    <row r="466" spans="1:17" ht="33.75" customHeight="1">
      <c r="A466" s="16">
        <v>395</v>
      </c>
      <c r="B466" s="310" t="b">
        <v>0</v>
      </c>
      <c r="C466" s="12"/>
      <c r="D466" s="18" t="s">
        <v>425</v>
      </c>
      <c r="E466" s="154" t="s">
        <v>408</v>
      </c>
      <c r="F466" s="26"/>
      <c r="G466" s="38">
        <v>1</v>
      </c>
      <c r="H466" s="26" t="s">
        <v>396</v>
      </c>
      <c r="I466" s="12"/>
      <c r="J466" s="12"/>
      <c r="K466" s="242"/>
      <c r="L466" s="245"/>
      <c r="M466" s="181" t="s">
        <v>420</v>
      </c>
      <c r="N466" s="31"/>
      <c r="O466" s="32"/>
      <c r="P466" s="32"/>
      <c r="Q466" s="33"/>
    </row>
    <row r="467" spans="1:17" ht="33.75" customHeight="1">
      <c r="A467" s="16">
        <v>396</v>
      </c>
      <c r="B467" s="310" t="b">
        <v>0</v>
      </c>
      <c r="C467" s="12"/>
      <c r="D467" s="18" t="s">
        <v>480</v>
      </c>
      <c r="E467" s="154" t="s">
        <v>409</v>
      </c>
      <c r="F467" s="26"/>
      <c r="G467" s="38">
        <v>4</v>
      </c>
      <c r="H467" s="26" t="s">
        <v>396</v>
      </c>
      <c r="I467" s="12"/>
      <c r="J467" s="12"/>
      <c r="K467" s="242"/>
      <c r="L467" s="245"/>
      <c r="M467" s="181" t="s">
        <v>420</v>
      </c>
      <c r="N467" s="31"/>
      <c r="O467" s="32"/>
      <c r="P467" s="32"/>
      <c r="Q467" s="33"/>
    </row>
    <row r="468" spans="1:17" ht="33.75" customHeight="1">
      <c r="A468" s="16">
        <v>397</v>
      </c>
      <c r="B468" s="310" t="b">
        <v>0</v>
      </c>
      <c r="C468" s="12"/>
      <c r="D468" s="18" t="s">
        <v>426</v>
      </c>
      <c r="E468" s="154" t="s">
        <v>410</v>
      </c>
      <c r="F468" s="26"/>
      <c r="G468" s="38">
        <v>32</v>
      </c>
      <c r="H468" s="26" t="s">
        <v>396</v>
      </c>
      <c r="I468" s="12"/>
      <c r="J468" s="12"/>
      <c r="K468" s="242"/>
      <c r="L468" s="245"/>
      <c r="M468" s="181" t="s">
        <v>420</v>
      </c>
      <c r="N468" s="31"/>
      <c r="O468" s="32"/>
      <c r="P468" s="32"/>
      <c r="Q468" s="33"/>
    </row>
    <row r="469" spans="1:17" ht="33.75" customHeight="1">
      <c r="A469" s="16">
        <v>398</v>
      </c>
      <c r="B469" s="310" t="b">
        <v>0</v>
      </c>
      <c r="C469" s="12"/>
      <c r="D469" s="18" t="s">
        <v>427</v>
      </c>
      <c r="E469" s="154" t="s">
        <v>411</v>
      </c>
      <c r="F469" s="26"/>
      <c r="G469" s="38">
        <v>16</v>
      </c>
      <c r="H469" s="26" t="s">
        <v>396</v>
      </c>
      <c r="I469" s="12"/>
      <c r="J469" s="12"/>
      <c r="K469" s="242"/>
      <c r="L469" s="245"/>
      <c r="M469" s="25"/>
      <c r="N469" s="31"/>
      <c r="O469" s="32"/>
      <c r="P469" s="32"/>
      <c r="Q469" s="33"/>
    </row>
    <row r="470" spans="1:17" ht="33.75" customHeight="1">
      <c r="A470" s="16">
        <v>399</v>
      </c>
      <c r="B470" s="310" t="b">
        <v>0</v>
      </c>
      <c r="C470" s="12"/>
      <c r="D470" s="18" t="s">
        <v>477</v>
      </c>
      <c r="E470" s="154" t="s">
        <v>468</v>
      </c>
      <c r="F470" s="26"/>
      <c r="G470" s="38">
        <v>32</v>
      </c>
      <c r="H470" s="26" t="s">
        <v>72</v>
      </c>
      <c r="I470" s="12"/>
      <c r="J470" s="12"/>
      <c r="K470" s="242"/>
      <c r="L470" s="245"/>
      <c r="M470" s="25"/>
      <c r="N470" s="28" t="s">
        <v>484</v>
      </c>
      <c r="O470" s="32"/>
      <c r="P470" s="32"/>
      <c r="Q470" s="33"/>
    </row>
    <row r="471" spans="1:17" ht="33.75" customHeight="1">
      <c r="A471" s="16">
        <v>400</v>
      </c>
      <c r="B471" s="310" t="b">
        <v>0</v>
      </c>
      <c r="C471" s="12"/>
      <c r="D471" s="18" t="s">
        <v>428</v>
      </c>
      <c r="E471" s="14" t="s">
        <v>412</v>
      </c>
      <c r="F471" s="26"/>
      <c r="G471" s="38">
        <v>3</v>
      </c>
      <c r="H471" s="26" t="s">
        <v>396</v>
      </c>
      <c r="I471" s="12"/>
      <c r="J471" s="12"/>
      <c r="K471" s="242"/>
      <c r="L471" s="245"/>
      <c r="M471" s="181" t="s">
        <v>420</v>
      </c>
      <c r="N471" s="31"/>
      <c r="O471" s="32"/>
      <c r="P471" s="32"/>
      <c r="Q471" s="33"/>
    </row>
    <row r="472" spans="1:17" ht="33.75" customHeight="1">
      <c r="A472" s="16">
        <v>401</v>
      </c>
      <c r="B472" s="310" t="b">
        <v>0</v>
      </c>
      <c r="C472" s="12"/>
      <c r="D472" s="18" t="s">
        <v>434</v>
      </c>
      <c r="E472" s="154" t="s">
        <v>413</v>
      </c>
      <c r="F472" s="26"/>
      <c r="G472" s="38"/>
      <c r="H472" s="26" t="s">
        <v>72</v>
      </c>
      <c r="I472" s="12"/>
      <c r="J472" s="12"/>
      <c r="K472" s="242"/>
      <c r="L472" s="245"/>
      <c r="M472" s="181" t="s">
        <v>420</v>
      </c>
      <c r="N472" s="28" t="s">
        <v>418</v>
      </c>
      <c r="O472" s="32"/>
      <c r="P472" s="32"/>
      <c r="Q472" s="33"/>
    </row>
    <row r="473" spans="1:17" ht="33.75" customHeight="1">
      <c r="A473" s="16">
        <v>402</v>
      </c>
      <c r="B473" s="310" t="b">
        <v>0</v>
      </c>
      <c r="C473" s="12"/>
      <c r="D473" s="18" t="s">
        <v>452</v>
      </c>
      <c r="E473" s="154" t="s">
        <v>318</v>
      </c>
      <c r="F473" s="26"/>
      <c r="G473" s="38"/>
      <c r="H473" s="26" t="s">
        <v>70</v>
      </c>
      <c r="I473" s="12"/>
      <c r="J473" s="12"/>
      <c r="K473" s="242"/>
      <c r="L473" s="245"/>
      <c r="M473" s="193" t="s">
        <v>453</v>
      </c>
      <c r="N473" s="28" t="s">
        <v>454</v>
      </c>
      <c r="O473" s="185"/>
      <c r="P473" s="185"/>
      <c r="Q473" s="186"/>
    </row>
    <row r="474" spans="1:17" ht="33.75" customHeight="1">
      <c r="A474" s="16">
        <v>403</v>
      </c>
      <c r="B474" s="310" t="b">
        <v>0</v>
      </c>
      <c r="C474" s="12"/>
      <c r="D474" s="18" t="s">
        <v>455</v>
      </c>
      <c r="E474" s="154" t="s">
        <v>456</v>
      </c>
      <c r="F474" s="26"/>
      <c r="G474" s="38"/>
      <c r="H474" s="26" t="s">
        <v>70</v>
      </c>
      <c r="I474" s="12"/>
      <c r="J474" s="12"/>
      <c r="K474" s="242"/>
      <c r="L474" s="245"/>
      <c r="M474" s="181"/>
      <c r="N474" s="28" t="s">
        <v>457</v>
      </c>
      <c r="O474" s="185"/>
      <c r="P474" s="185"/>
      <c r="Q474" s="186"/>
    </row>
    <row r="475" spans="1:17" ht="33.75" customHeight="1">
      <c r="A475" s="16">
        <v>404</v>
      </c>
      <c r="B475" s="310" t="b">
        <v>0</v>
      </c>
      <c r="C475" s="12"/>
      <c r="D475" s="18"/>
      <c r="E475" s="154" t="s">
        <v>413</v>
      </c>
      <c r="F475" s="26"/>
      <c r="G475" s="38"/>
      <c r="H475" s="26" t="s">
        <v>72</v>
      </c>
      <c r="I475" s="12"/>
      <c r="J475" s="12"/>
      <c r="K475" s="242"/>
      <c r="L475" s="245"/>
      <c r="M475" s="181" t="s">
        <v>420</v>
      </c>
      <c r="N475" s="28" t="s">
        <v>418</v>
      </c>
      <c r="O475" s="32"/>
      <c r="P475" s="32"/>
      <c r="Q475" s="33"/>
    </row>
    <row r="476" spans="1:17" ht="33.75" customHeight="1">
      <c r="A476" s="16">
        <v>405</v>
      </c>
      <c r="B476" s="310" t="b">
        <v>0</v>
      </c>
      <c r="C476" s="12"/>
      <c r="D476" s="18"/>
      <c r="E476" s="154" t="s">
        <v>413</v>
      </c>
      <c r="F476" s="26"/>
      <c r="G476" s="38"/>
      <c r="H476" s="26" t="s">
        <v>72</v>
      </c>
      <c r="I476" s="12"/>
      <c r="J476" s="12"/>
      <c r="K476" s="242"/>
      <c r="L476" s="245"/>
      <c r="M476" s="181" t="s">
        <v>420</v>
      </c>
      <c r="N476" s="28" t="s">
        <v>418</v>
      </c>
      <c r="O476" s="32"/>
      <c r="P476" s="32"/>
      <c r="Q476" s="33"/>
    </row>
    <row r="477" spans="1:17" ht="33.75" customHeight="1">
      <c r="A477" s="16">
        <v>406</v>
      </c>
      <c r="B477" s="310" t="b">
        <v>0</v>
      </c>
      <c r="C477" s="12"/>
      <c r="D477" s="18" t="s">
        <v>487</v>
      </c>
      <c r="E477" s="154" t="s">
        <v>423</v>
      </c>
      <c r="F477" s="26"/>
      <c r="G477" s="38">
        <v>7</v>
      </c>
      <c r="H477" s="26" t="s">
        <v>72</v>
      </c>
      <c r="I477" s="12"/>
      <c r="J477" s="12"/>
      <c r="K477" s="242"/>
      <c r="L477" s="245"/>
      <c r="M477" s="25"/>
      <c r="N477" s="199" t="s">
        <v>401</v>
      </c>
      <c r="O477" s="32"/>
      <c r="P477" s="32"/>
      <c r="Q477" s="33"/>
    </row>
    <row r="478" spans="1:17" ht="33.75" customHeight="1">
      <c r="A478" s="16">
        <v>407</v>
      </c>
      <c r="B478" s="310" t="b">
        <v>0</v>
      </c>
      <c r="C478" s="12"/>
      <c r="D478" s="18"/>
      <c r="E478" s="14" t="s">
        <v>424</v>
      </c>
      <c r="F478" s="26"/>
      <c r="G478" s="38"/>
      <c r="H478" s="26" t="s">
        <v>72</v>
      </c>
      <c r="I478" s="12"/>
      <c r="J478" s="12"/>
      <c r="K478" s="242"/>
      <c r="L478" s="245"/>
      <c r="M478" s="25"/>
      <c r="N478" s="199" t="s">
        <v>401</v>
      </c>
      <c r="O478" s="185"/>
      <c r="P478" s="185"/>
      <c r="Q478" s="186"/>
    </row>
    <row r="479" spans="1:17" ht="33.75" customHeight="1">
      <c r="A479" s="16">
        <v>408</v>
      </c>
      <c r="B479" s="310" t="b">
        <v>0</v>
      </c>
      <c r="C479" s="12"/>
      <c r="D479" s="18" t="s">
        <v>458</v>
      </c>
      <c r="E479" s="14" t="s">
        <v>459</v>
      </c>
      <c r="F479" s="26"/>
      <c r="G479" s="38"/>
      <c r="H479" s="26" t="s">
        <v>70</v>
      </c>
      <c r="I479" s="12"/>
      <c r="J479" s="12"/>
      <c r="K479" s="242"/>
      <c r="L479" s="245"/>
      <c r="M479" s="25"/>
      <c r="N479" s="28"/>
      <c r="O479" s="185"/>
      <c r="P479" s="185"/>
      <c r="Q479" s="186"/>
    </row>
    <row r="480" spans="1:17" ht="33.75" customHeight="1">
      <c r="A480" s="16">
        <v>409</v>
      </c>
      <c r="B480" s="310" t="b">
        <v>0</v>
      </c>
      <c r="C480" s="12"/>
      <c r="D480" s="18"/>
      <c r="E480" s="14" t="s">
        <v>525</v>
      </c>
      <c r="F480" s="26"/>
      <c r="G480" s="38"/>
      <c r="H480" s="26" t="s">
        <v>70</v>
      </c>
      <c r="I480" s="12"/>
      <c r="J480" s="12"/>
      <c r="K480" s="242"/>
      <c r="L480" s="245"/>
      <c r="M480" s="25"/>
      <c r="N480" s="28"/>
      <c r="O480" s="185"/>
      <c r="P480" s="185"/>
      <c r="Q480" s="186"/>
    </row>
    <row r="481" spans="1:17" ht="33.75" customHeight="1">
      <c r="A481" s="16">
        <v>410</v>
      </c>
      <c r="B481" s="310" t="b">
        <v>0</v>
      </c>
      <c r="C481" s="12"/>
      <c r="D481" s="18" t="s">
        <v>460</v>
      </c>
      <c r="E481" s="14" t="s">
        <v>461</v>
      </c>
      <c r="F481" s="26"/>
      <c r="G481" s="38"/>
      <c r="H481" s="26" t="s">
        <v>70</v>
      </c>
      <c r="I481" s="12"/>
      <c r="J481" s="12"/>
      <c r="K481" s="242"/>
      <c r="L481" s="245"/>
      <c r="M481" s="25"/>
      <c r="N481" s="28"/>
      <c r="O481" s="185"/>
      <c r="P481" s="185"/>
      <c r="Q481" s="186"/>
    </row>
    <row r="482" spans="1:17" ht="33.75" customHeight="1">
      <c r="A482" s="16">
        <v>411</v>
      </c>
      <c r="B482" s="310" t="b">
        <v>0</v>
      </c>
      <c r="C482" s="12"/>
      <c r="D482" s="18" t="s">
        <v>462</v>
      </c>
      <c r="E482" s="14" t="s">
        <v>463</v>
      </c>
      <c r="F482" s="26"/>
      <c r="G482" s="38"/>
      <c r="H482" s="26" t="s">
        <v>70</v>
      </c>
      <c r="I482" s="12"/>
      <c r="J482" s="12"/>
      <c r="K482" s="242"/>
      <c r="L482" s="245"/>
      <c r="M482" s="25"/>
      <c r="N482" s="28"/>
      <c r="O482" s="185"/>
      <c r="P482" s="185"/>
      <c r="Q482" s="186"/>
    </row>
    <row r="483" spans="1:17" ht="33.75" customHeight="1">
      <c r="A483" s="16">
        <v>412</v>
      </c>
      <c r="B483" s="310" t="b">
        <v>0</v>
      </c>
      <c r="C483" s="12"/>
      <c r="D483" s="18" t="s">
        <v>507</v>
      </c>
      <c r="E483" s="14" t="s">
        <v>510</v>
      </c>
      <c r="F483" s="26"/>
      <c r="G483" s="38"/>
      <c r="H483" s="26" t="s">
        <v>70</v>
      </c>
      <c r="I483" s="12"/>
      <c r="J483" s="12"/>
      <c r="K483" s="242"/>
      <c r="L483" s="245"/>
      <c r="M483" s="25"/>
      <c r="N483" s="28"/>
      <c r="O483" s="185"/>
      <c r="P483" s="185"/>
      <c r="Q483" s="186"/>
    </row>
    <row r="484" spans="1:17" ht="33.75" customHeight="1">
      <c r="A484" s="16">
        <v>413</v>
      </c>
      <c r="B484" s="310" t="b">
        <v>0</v>
      </c>
      <c r="C484" s="12"/>
      <c r="D484" s="18" t="s">
        <v>508</v>
      </c>
      <c r="E484" s="14" t="s">
        <v>511</v>
      </c>
      <c r="F484" s="26"/>
      <c r="G484" s="38"/>
      <c r="H484" s="26" t="s">
        <v>70</v>
      </c>
      <c r="I484" s="12"/>
      <c r="J484" s="12"/>
      <c r="K484" s="242"/>
      <c r="L484" s="245"/>
      <c r="M484" s="25"/>
      <c r="N484" s="28"/>
      <c r="O484" s="185"/>
      <c r="P484" s="185"/>
      <c r="Q484" s="186"/>
    </row>
    <row r="485" spans="1:17" ht="33.75" customHeight="1">
      <c r="A485" s="16">
        <v>414</v>
      </c>
      <c r="B485" s="310" t="b">
        <v>0</v>
      </c>
      <c r="C485" s="12"/>
      <c r="D485" s="18" t="s">
        <v>509</v>
      </c>
      <c r="E485" s="14" t="s">
        <v>512</v>
      </c>
      <c r="F485" s="26"/>
      <c r="G485" s="38"/>
      <c r="H485" s="26" t="s">
        <v>70</v>
      </c>
      <c r="I485" s="12"/>
      <c r="J485" s="12"/>
      <c r="K485" s="242"/>
      <c r="L485" s="245"/>
      <c r="M485" s="25"/>
      <c r="N485" s="28"/>
      <c r="O485" s="185"/>
      <c r="P485" s="185"/>
      <c r="Q485" s="186"/>
    </row>
    <row r="486" spans="1:17" ht="33.75" customHeight="1">
      <c r="A486" s="16">
        <v>415</v>
      </c>
      <c r="B486" s="310" t="b">
        <v>0</v>
      </c>
      <c r="C486" s="12"/>
      <c r="D486" s="18" t="s">
        <v>513</v>
      </c>
      <c r="E486" s="14" t="s">
        <v>514</v>
      </c>
      <c r="F486" s="26"/>
      <c r="G486" s="38"/>
      <c r="H486" s="26" t="s">
        <v>70</v>
      </c>
      <c r="I486" s="12"/>
      <c r="J486" s="12"/>
      <c r="K486" s="242"/>
      <c r="L486" s="245"/>
      <c r="M486" s="25"/>
      <c r="N486" s="28"/>
      <c r="O486" s="185"/>
      <c r="P486" s="185"/>
      <c r="Q486" s="186"/>
    </row>
    <row r="487" spans="1:17" ht="33.75" customHeight="1">
      <c r="A487" s="16">
        <v>416</v>
      </c>
      <c r="B487" s="310" t="b">
        <v>0</v>
      </c>
      <c r="C487" s="12"/>
      <c r="D487" s="18" t="s">
        <v>533</v>
      </c>
      <c r="E487" s="14" t="s">
        <v>534</v>
      </c>
      <c r="F487" s="26"/>
      <c r="G487" s="38"/>
      <c r="H487" s="26" t="s">
        <v>70</v>
      </c>
      <c r="I487" s="12"/>
      <c r="J487" s="12"/>
      <c r="K487" s="242"/>
      <c r="L487" s="245"/>
      <c r="M487" s="25"/>
      <c r="N487" s="28"/>
      <c r="O487" s="185"/>
      <c r="P487" s="185"/>
      <c r="Q487" s="186"/>
    </row>
    <row r="488" spans="1:17" ht="33.75" customHeight="1">
      <c r="A488" s="16">
        <v>417</v>
      </c>
      <c r="B488" s="310" t="b">
        <v>0</v>
      </c>
      <c r="C488" s="12"/>
      <c r="D488" s="18"/>
      <c r="E488" s="14"/>
      <c r="F488" s="26"/>
      <c r="G488" s="38"/>
      <c r="H488" s="26"/>
      <c r="I488" s="12"/>
      <c r="J488" s="12"/>
      <c r="K488" s="242"/>
      <c r="L488" s="245"/>
      <c r="M488" s="25"/>
      <c r="N488" s="28"/>
      <c r="O488" s="185"/>
      <c r="P488" s="185"/>
      <c r="Q488" s="186"/>
    </row>
    <row r="489" spans="1:17" ht="33.75" customHeight="1">
      <c r="A489" s="16">
        <v>418</v>
      </c>
      <c r="B489" s="310" t="b">
        <v>0</v>
      </c>
      <c r="C489" s="12"/>
      <c r="D489" s="18"/>
      <c r="E489" s="14"/>
      <c r="F489" s="26"/>
      <c r="G489" s="38"/>
      <c r="H489" s="26"/>
      <c r="I489" s="12"/>
      <c r="J489" s="12"/>
      <c r="K489" s="242"/>
      <c r="L489" s="245"/>
      <c r="M489" s="25"/>
      <c r="N489" s="28"/>
      <c r="O489" s="185"/>
      <c r="P489" s="185"/>
      <c r="Q489" s="186"/>
    </row>
    <row r="490" spans="1:17" ht="33.75" customHeight="1">
      <c r="A490" s="16">
        <v>419</v>
      </c>
      <c r="B490" s="310" t="b">
        <v>0</v>
      </c>
      <c r="C490" s="12"/>
      <c r="D490" s="18"/>
      <c r="E490" s="14"/>
      <c r="F490" s="26"/>
      <c r="G490" s="38"/>
      <c r="H490" s="26"/>
      <c r="I490" s="12"/>
      <c r="J490" s="12"/>
      <c r="K490" s="242"/>
      <c r="L490" s="245"/>
      <c r="M490" s="25"/>
      <c r="N490" s="28"/>
      <c r="O490" s="185"/>
      <c r="P490" s="185"/>
      <c r="Q490" s="186"/>
    </row>
    <row r="491" spans="1:17" ht="33.75" customHeight="1">
      <c r="A491" s="16">
        <v>420</v>
      </c>
      <c r="B491" s="310" t="b">
        <v>0</v>
      </c>
      <c r="C491" s="12"/>
      <c r="D491" s="18"/>
      <c r="E491" s="14"/>
      <c r="F491" s="26"/>
      <c r="G491" s="38"/>
      <c r="H491" s="26"/>
      <c r="I491" s="12"/>
      <c r="J491" s="12"/>
      <c r="K491" s="242"/>
      <c r="L491" s="245"/>
      <c r="M491" s="25"/>
      <c r="N491" s="28"/>
      <c r="O491" s="185"/>
      <c r="P491" s="185"/>
      <c r="Q491" s="186"/>
    </row>
    <row r="492" spans="1:17" ht="33.75" customHeight="1">
      <c r="A492" s="16">
        <v>421</v>
      </c>
      <c r="B492" s="310" t="b">
        <v>0</v>
      </c>
      <c r="C492" s="12"/>
      <c r="D492" s="18"/>
      <c r="E492" s="14"/>
      <c r="F492" s="26"/>
      <c r="G492" s="38"/>
      <c r="H492" s="26"/>
      <c r="I492" s="12"/>
      <c r="J492" s="12"/>
      <c r="K492" s="242"/>
      <c r="L492" s="245"/>
      <c r="M492" s="25"/>
      <c r="N492" s="28"/>
      <c r="O492" s="185"/>
      <c r="P492" s="185"/>
      <c r="Q492" s="186"/>
    </row>
    <row r="493" spans="1:17" ht="33.75" customHeight="1">
      <c r="A493" s="16">
        <v>422</v>
      </c>
      <c r="B493" s="310" t="b">
        <v>0</v>
      </c>
      <c r="C493" s="12"/>
      <c r="D493" s="18"/>
      <c r="E493" s="14"/>
      <c r="F493" s="26"/>
      <c r="G493" s="38"/>
      <c r="H493" s="26"/>
      <c r="I493" s="12"/>
      <c r="J493" s="12"/>
      <c r="K493" s="242"/>
      <c r="L493" s="245"/>
      <c r="M493" s="25"/>
      <c r="N493" s="28"/>
      <c r="O493" s="185"/>
      <c r="P493" s="185"/>
      <c r="Q493" s="186"/>
    </row>
    <row r="494" spans="1:17" ht="33.75" customHeight="1">
      <c r="A494" s="16">
        <v>423</v>
      </c>
      <c r="B494" s="310" t="b">
        <v>0</v>
      </c>
      <c r="C494" s="12"/>
      <c r="D494" s="18"/>
      <c r="E494" s="14"/>
      <c r="F494" s="26"/>
      <c r="G494" s="38"/>
      <c r="H494" s="26"/>
      <c r="I494" s="12"/>
      <c r="J494" s="12"/>
      <c r="K494" s="242"/>
      <c r="L494" s="245"/>
      <c r="M494" s="25"/>
      <c r="N494" s="28"/>
      <c r="O494" s="185"/>
      <c r="P494" s="185"/>
      <c r="Q494" s="186"/>
    </row>
    <row r="495" spans="1:17" ht="33.75" customHeight="1">
      <c r="A495" s="16">
        <v>424</v>
      </c>
      <c r="B495" s="310" t="b">
        <v>0</v>
      </c>
      <c r="C495" s="12"/>
      <c r="D495" s="18"/>
      <c r="E495" s="14"/>
      <c r="F495" s="26"/>
      <c r="G495" s="38"/>
      <c r="H495" s="26"/>
      <c r="I495" s="12"/>
      <c r="J495" s="12"/>
      <c r="K495" s="242"/>
      <c r="L495" s="245"/>
      <c r="M495" s="25"/>
      <c r="N495" s="28"/>
      <c r="O495" s="185"/>
      <c r="P495" s="185"/>
      <c r="Q495" s="186"/>
    </row>
  </sheetData>
  <autoFilter ref="A9:Q495" xr:uid="{00000000-0009-0000-0000-000004000000}">
    <sortState xmlns:xlrd2="http://schemas.microsoft.com/office/spreadsheetml/2017/richdata2" ref="A10:Q495">
      <sortCondition ref="F9:F495"/>
    </sortState>
  </autoFilter>
  <mergeCells count="28">
    <mergeCell ref="C1:P1"/>
    <mergeCell ref="Q1:Q4"/>
    <mergeCell ref="B2:B3"/>
    <mergeCell ref="C2:C3"/>
    <mergeCell ref="D2:D3"/>
    <mergeCell ref="E2:E3"/>
    <mergeCell ref="F2:F3"/>
    <mergeCell ref="G2:I3"/>
    <mergeCell ref="K2:L2"/>
    <mergeCell ref="M2:N2"/>
    <mergeCell ref="K3:L3"/>
    <mergeCell ref="M3:N3"/>
    <mergeCell ref="D4:D5"/>
    <mergeCell ref="E4:E5"/>
    <mergeCell ref="F4:F7"/>
    <mergeCell ref="G4:I7"/>
    <mergeCell ref="K4:L5"/>
    <mergeCell ref="M4:N5"/>
    <mergeCell ref="K8:M8"/>
    <mergeCell ref="N8:Q8"/>
    <mergeCell ref="B5:B6"/>
    <mergeCell ref="C5:C6"/>
    <mergeCell ref="D6:D7"/>
    <mergeCell ref="E6:E7"/>
    <mergeCell ref="K6:L6"/>
    <mergeCell ref="M6:N6"/>
    <mergeCell ref="K7:L7"/>
    <mergeCell ref="M7:N7"/>
  </mergeCells>
  <pageMargins left="0.7" right="0.7" top="0.75" bottom="0.75" header="0.3" footer="0.3"/>
  <pageSetup paperSize="9" scale="4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222"/>
  <sheetViews>
    <sheetView topLeftCell="A216" zoomScale="85" zoomScaleNormal="85" workbookViewId="0">
      <selection activeCell="I229" sqref="I229"/>
    </sheetView>
  </sheetViews>
  <sheetFormatPr defaultRowHeight="15"/>
  <cols>
    <col min="1" max="1" width="6.85546875" customWidth="1"/>
    <col min="2" max="2" width="15.28515625" customWidth="1"/>
    <col min="3" max="3" width="20" customWidth="1"/>
    <col min="4" max="4" width="47.5703125" bestFit="1" customWidth="1"/>
    <col min="7" max="7" width="10.42578125" customWidth="1"/>
    <col min="8" max="8" width="12.7109375" customWidth="1"/>
    <col min="9" max="9" width="14.28515625" bestFit="1" customWidth="1"/>
    <col min="10" max="10" width="12.7109375" customWidth="1"/>
    <col min="11" max="11" width="14" bestFit="1" customWidth="1"/>
    <col min="12" max="12" width="11.5703125" customWidth="1"/>
    <col min="13" max="13" width="10.42578125" style="333" bestFit="1" customWidth="1"/>
    <col min="14" max="14" width="10.85546875" style="164" bestFit="1" customWidth="1"/>
    <col min="15" max="15" width="8.5703125" style="164" customWidth="1"/>
    <col min="16" max="16" width="21.7109375" style="164" customWidth="1"/>
  </cols>
  <sheetData>
    <row r="1" spans="1:16" ht="40.5" customHeight="1">
      <c r="A1" s="6"/>
      <c r="B1" s="511" t="s">
        <v>0</v>
      </c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2"/>
      <c r="P1" s="513"/>
    </row>
    <row r="2" spans="1:16" ht="15" customHeight="1">
      <c r="A2" s="516" t="s">
        <v>16</v>
      </c>
      <c r="B2" s="518">
        <f>'ÇALIŞMA SAYFASI'!C2</f>
        <v>46049</v>
      </c>
      <c r="C2" s="503" t="s">
        <v>11</v>
      </c>
      <c r="D2" s="505" t="str">
        <f>'ÇALIŞMA SAYFASI'!E2</f>
        <v>PA600-44&amp;53</v>
      </c>
      <c r="E2" s="503" t="s">
        <v>14</v>
      </c>
      <c r="F2" s="505" t="str">
        <f>'ÇALIŞMA SAYFASI'!G2</f>
        <v>SONELGAZ</v>
      </c>
      <c r="G2" s="505"/>
      <c r="H2" s="505"/>
      <c r="I2" s="1"/>
      <c r="J2" s="534" t="s">
        <v>526</v>
      </c>
      <c r="K2" s="535"/>
      <c r="L2" s="526" t="str">
        <f>'ÇALIŞMA SAYFASI'!M2</f>
        <v>T01140490</v>
      </c>
      <c r="M2" s="527"/>
      <c r="N2" s="1"/>
      <c r="O2" s="1"/>
      <c r="P2" s="514"/>
    </row>
    <row r="3" spans="1:16">
      <c r="A3" s="517"/>
      <c r="B3" s="519"/>
      <c r="C3" s="540"/>
      <c r="D3" s="541"/>
      <c r="E3" s="540"/>
      <c r="F3" s="541"/>
      <c r="G3" s="541"/>
      <c r="H3" s="541"/>
      <c r="I3" s="1"/>
      <c r="J3" s="534" t="s">
        <v>416</v>
      </c>
      <c r="K3" s="535"/>
      <c r="L3" s="526" t="str">
        <f>'ÇALIŞMA SAYFASI'!M3</f>
        <v>T01128380</v>
      </c>
      <c r="M3" s="527"/>
      <c r="N3" s="1"/>
      <c r="O3" s="1"/>
      <c r="P3" s="514"/>
    </row>
    <row r="4" spans="1:16" ht="15" customHeight="1">
      <c r="A4" s="546" t="s">
        <v>25</v>
      </c>
      <c r="B4" s="1"/>
      <c r="C4" s="540" t="s">
        <v>12</v>
      </c>
      <c r="D4" s="541">
        <f>'ÇALIŞMA SAYFASI'!E4</f>
        <v>120</v>
      </c>
      <c r="E4" s="542" t="s">
        <v>15</v>
      </c>
      <c r="F4" s="541" t="str">
        <f>'ÇALIŞMA SAYFASI'!G4</f>
        <v>ALGERIA</v>
      </c>
      <c r="G4" s="541"/>
      <c r="H4" s="541"/>
      <c r="I4" s="1"/>
      <c r="J4" s="536" t="s">
        <v>20</v>
      </c>
      <c r="K4" s="537"/>
      <c r="L4" s="520" t="str">
        <f>'ÇALIŞMA SAYFASI'!M4</f>
        <v>T01128371</v>
      </c>
      <c r="M4" s="522"/>
      <c r="N4" s="1"/>
      <c r="O4" s="10"/>
      <c r="P4" s="515"/>
    </row>
    <row r="5" spans="1:16" ht="15" customHeight="1">
      <c r="A5" s="547"/>
      <c r="B5" s="549"/>
      <c r="C5" s="540"/>
      <c r="D5" s="541"/>
      <c r="E5" s="542"/>
      <c r="F5" s="541"/>
      <c r="G5" s="541"/>
      <c r="H5" s="541"/>
      <c r="I5" s="1"/>
      <c r="J5" s="538"/>
      <c r="K5" s="539"/>
      <c r="L5" s="523"/>
      <c r="M5" s="525"/>
      <c r="N5" s="1"/>
      <c r="O5" s="10"/>
      <c r="P5" s="4"/>
    </row>
    <row r="6" spans="1:16" ht="15" customHeight="1">
      <c r="A6" s="547"/>
      <c r="B6" s="549"/>
      <c r="C6" s="540" t="s">
        <v>13</v>
      </c>
      <c r="D6" s="541">
        <f>'ÇALIŞMA SAYFASI'!E6</f>
        <v>220</v>
      </c>
      <c r="E6" s="542"/>
      <c r="F6" s="541"/>
      <c r="G6" s="541"/>
      <c r="H6" s="541"/>
      <c r="I6" s="1"/>
      <c r="J6" s="543" t="s">
        <v>21</v>
      </c>
      <c r="K6" s="544"/>
      <c r="L6" s="506"/>
      <c r="M6" s="507"/>
      <c r="N6" s="256" t="s">
        <v>23</v>
      </c>
      <c r="O6" s="8"/>
      <c r="P6" s="4"/>
    </row>
    <row r="7" spans="1:16">
      <c r="A7" s="548"/>
      <c r="B7" s="2"/>
      <c r="C7" s="540"/>
      <c r="D7" s="541"/>
      <c r="E7" s="542"/>
      <c r="F7" s="541"/>
      <c r="G7" s="541"/>
      <c r="H7" s="541"/>
      <c r="I7" s="2"/>
      <c r="J7" s="543" t="s">
        <v>22</v>
      </c>
      <c r="K7" s="544"/>
      <c r="L7" s="545"/>
      <c r="M7" s="510"/>
      <c r="N7" s="256" t="s">
        <v>24</v>
      </c>
      <c r="O7" s="8"/>
      <c r="P7" s="4"/>
    </row>
    <row r="8" spans="1:16" ht="30" customHeight="1">
      <c r="A8" s="528" t="s">
        <v>18</v>
      </c>
      <c r="B8" s="553" t="s">
        <v>19</v>
      </c>
      <c r="C8" s="542" t="s">
        <v>17</v>
      </c>
      <c r="D8" s="554" t="s">
        <v>1</v>
      </c>
      <c r="E8" s="554" t="s">
        <v>6</v>
      </c>
      <c r="F8" s="554" t="s">
        <v>3</v>
      </c>
      <c r="G8" s="554" t="s">
        <v>5</v>
      </c>
      <c r="H8" s="555" t="s">
        <v>391</v>
      </c>
      <c r="I8" s="555" t="s">
        <v>390</v>
      </c>
      <c r="J8" s="554" t="s">
        <v>7</v>
      </c>
      <c r="K8" s="554"/>
      <c r="L8" s="554"/>
      <c r="M8" s="554" t="s">
        <v>10</v>
      </c>
      <c r="N8" s="554"/>
      <c r="O8" s="554"/>
      <c r="P8" s="554"/>
    </row>
    <row r="9" spans="1:16" ht="34.5" customHeight="1">
      <c r="A9" s="530"/>
      <c r="B9" s="553"/>
      <c r="C9" s="542"/>
      <c r="D9" s="554"/>
      <c r="E9" s="554"/>
      <c r="F9" s="554"/>
      <c r="G9" s="554"/>
      <c r="H9" s="542"/>
      <c r="I9" s="542"/>
      <c r="J9" s="11" t="s">
        <v>8</v>
      </c>
      <c r="K9" s="11" t="s">
        <v>532</v>
      </c>
      <c r="L9" s="11" t="s">
        <v>9</v>
      </c>
      <c r="M9" s="554"/>
      <c r="N9" s="554"/>
      <c r="O9" s="554"/>
      <c r="P9" s="554"/>
    </row>
    <row r="10" spans="1:16" ht="47.1" customHeight="1">
      <c r="A10" s="9">
        <v>1</v>
      </c>
      <c r="B10" s="200"/>
      <c r="C10" s="206" t="s">
        <v>580</v>
      </c>
      <c r="D10" s="184" t="s">
        <v>142</v>
      </c>
      <c r="E10" s="182">
        <v>1</v>
      </c>
      <c r="F10" s="201">
        <v>1</v>
      </c>
      <c r="G10" s="182" t="s">
        <v>70</v>
      </c>
      <c r="H10" s="182"/>
      <c r="I10" s="182"/>
      <c r="J10" s="182"/>
      <c r="K10" s="202"/>
      <c r="L10" s="182"/>
      <c r="M10" s="330"/>
      <c r="N10" s="278"/>
      <c r="O10" s="278"/>
      <c r="P10" s="279"/>
    </row>
    <row r="11" spans="1:16" ht="47.1" customHeight="1">
      <c r="A11" s="9">
        <v>2</v>
      </c>
      <c r="B11" s="200" t="s">
        <v>28</v>
      </c>
      <c r="C11" s="206" t="s">
        <v>471</v>
      </c>
      <c r="D11" s="203" t="s">
        <v>144</v>
      </c>
      <c r="E11" s="204">
        <v>1</v>
      </c>
      <c r="F11" s="201">
        <v>1</v>
      </c>
      <c r="G11" s="204" t="s">
        <v>70</v>
      </c>
      <c r="H11" s="200"/>
      <c r="I11" s="200"/>
      <c r="J11" s="182"/>
      <c r="K11" s="202"/>
      <c r="L11" s="182"/>
      <c r="M11" s="330"/>
      <c r="N11" s="278"/>
      <c r="O11" s="278"/>
      <c r="P11" s="279"/>
    </row>
    <row r="12" spans="1:16" ht="47.1" customHeight="1">
      <c r="A12" s="9">
        <v>3</v>
      </c>
      <c r="B12" s="200"/>
      <c r="C12" s="206"/>
      <c r="D12" s="203"/>
      <c r="E12" s="204"/>
      <c r="F12" s="201"/>
      <c r="G12" s="204"/>
      <c r="H12" s="200"/>
      <c r="I12" s="200"/>
      <c r="J12" s="182"/>
      <c r="K12" s="202"/>
      <c r="L12" s="182"/>
      <c r="M12" s="330"/>
      <c r="N12" s="278"/>
      <c r="O12" s="278"/>
      <c r="P12" s="279"/>
    </row>
    <row r="13" spans="1:16" ht="47.1" customHeight="1">
      <c r="A13" s="9">
        <v>4</v>
      </c>
      <c r="B13" s="200"/>
      <c r="C13" s="206"/>
      <c r="D13" s="203"/>
      <c r="E13" s="204"/>
      <c r="F13" s="201"/>
      <c r="G13" s="204"/>
      <c r="H13" s="200"/>
      <c r="I13" s="200"/>
      <c r="J13" s="182"/>
      <c r="K13" s="202"/>
      <c r="L13" s="182"/>
      <c r="M13" s="330"/>
      <c r="N13" s="278"/>
      <c r="O13" s="278"/>
      <c r="P13" s="279"/>
    </row>
    <row r="14" spans="1:16" ht="47.1" customHeight="1">
      <c r="A14" s="9">
        <v>5</v>
      </c>
      <c r="B14" s="200" t="s">
        <v>32</v>
      </c>
      <c r="C14" s="206" t="s">
        <v>581</v>
      </c>
      <c r="D14" s="203" t="s">
        <v>372</v>
      </c>
      <c r="E14" s="204">
        <v>2</v>
      </c>
      <c r="F14" s="201">
        <v>4</v>
      </c>
      <c r="G14" s="204" t="s">
        <v>70</v>
      </c>
      <c r="H14" s="200"/>
      <c r="I14" s="200"/>
      <c r="J14" s="182"/>
      <c r="K14" s="202"/>
      <c r="L14" s="182"/>
      <c r="M14" s="330"/>
      <c r="N14" s="278"/>
      <c r="O14" s="278"/>
      <c r="P14" s="279"/>
    </row>
    <row r="15" spans="1:16" ht="47.1" customHeight="1">
      <c r="A15" s="9">
        <v>6</v>
      </c>
      <c r="B15" s="200" t="s">
        <v>32</v>
      </c>
      <c r="C15" s="206" t="s">
        <v>582</v>
      </c>
      <c r="D15" s="203" t="s">
        <v>373</v>
      </c>
      <c r="E15" s="204">
        <v>2</v>
      </c>
      <c r="F15" s="201">
        <v>4</v>
      </c>
      <c r="G15" s="204" t="s">
        <v>70</v>
      </c>
      <c r="H15" s="200"/>
      <c r="I15" s="200"/>
      <c r="J15" s="182"/>
      <c r="K15" s="202"/>
      <c r="L15" s="182"/>
      <c r="M15" s="330" t="s">
        <v>583</v>
      </c>
      <c r="N15" s="278"/>
      <c r="O15" s="278"/>
      <c r="P15" s="279"/>
    </row>
    <row r="16" spans="1:16" ht="47.1" customHeight="1">
      <c r="A16" s="9">
        <v>7</v>
      </c>
      <c r="B16" s="184" t="s">
        <v>32</v>
      </c>
      <c r="C16" s="327" t="s">
        <v>402</v>
      </c>
      <c r="D16" s="184" t="s">
        <v>585</v>
      </c>
      <c r="E16" s="182">
        <v>2</v>
      </c>
      <c r="F16" s="201">
        <v>4</v>
      </c>
      <c r="G16" s="182" t="s">
        <v>70</v>
      </c>
      <c r="H16" s="200"/>
      <c r="I16" s="200"/>
      <c r="J16" s="182"/>
      <c r="K16" s="202"/>
      <c r="L16" s="182"/>
      <c r="M16" s="330" t="s">
        <v>584</v>
      </c>
      <c r="N16" s="278"/>
      <c r="O16" s="278"/>
      <c r="P16" s="279"/>
    </row>
    <row r="17" spans="1:16" ht="47.1" customHeight="1">
      <c r="A17" s="9">
        <v>8</v>
      </c>
      <c r="B17" s="200" t="s">
        <v>32</v>
      </c>
      <c r="C17" s="328" t="s">
        <v>403</v>
      </c>
      <c r="D17" s="203" t="s">
        <v>586</v>
      </c>
      <c r="E17" s="182">
        <v>2</v>
      </c>
      <c r="F17" s="201">
        <v>32</v>
      </c>
      <c r="G17" s="204" t="s">
        <v>70</v>
      </c>
      <c r="H17" s="200"/>
      <c r="I17" s="200"/>
      <c r="J17" s="182"/>
      <c r="K17" s="202"/>
      <c r="L17" s="182"/>
      <c r="M17" s="330" t="s">
        <v>587</v>
      </c>
      <c r="N17" s="278"/>
      <c r="O17" s="278"/>
      <c r="P17" s="279"/>
    </row>
    <row r="18" spans="1:16" ht="47.1" customHeight="1">
      <c r="A18" s="9">
        <v>9</v>
      </c>
      <c r="B18" s="200" t="s">
        <v>32</v>
      </c>
      <c r="C18" s="328" t="s">
        <v>404</v>
      </c>
      <c r="D18" s="184" t="s">
        <v>588</v>
      </c>
      <c r="E18" s="182">
        <v>2</v>
      </c>
      <c r="F18" s="201">
        <v>32</v>
      </c>
      <c r="G18" s="182" t="s">
        <v>70</v>
      </c>
      <c r="H18" s="200"/>
      <c r="I18" s="200"/>
      <c r="J18" s="182"/>
      <c r="K18" s="202"/>
      <c r="L18" s="182"/>
      <c r="M18" s="330" t="s">
        <v>589</v>
      </c>
      <c r="N18" s="278"/>
      <c r="O18" s="278"/>
      <c r="P18" s="279"/>
    </row>
    <row r="19" spans="1:16" ht="47.1" customHeight="1">
      <c r="A19" s="9">
        <v>10</v>
      </c>
      <c r="B19" s="200" t="s">
        <v>32</v>
      </c>
      <c r="C19" s="206" t="s">
        <v>405</v>
      </c>
      <c r="D19" s="184" t="s">
        <v>591</v>
      </c>
      <c r="E19" s="182">
        <v>2</v>
      </c>
      <c r="F19" s="201">
        <v>32</v>
      </c>
      <c r="G19" s="182" t="s">
        <v>70</v>
      </c>
      <c r="H19" s="200"/>
      <c r="I19" s="200"/>
      <c r="J19" s="182"/>
      <c r="K19" s="202"/>
      <c r="L19" s="182"/>
      <c r="M19" s="330" t="s">
        <v>594</v>
      </c>
      <c r="N19" s="278"/>
      <c r="O19" s="278"/>
      <c r="P19" s="279"/>
    </row>
    <row r="20" spans="1:16" ht="47.1" customHeight="1">
      <c r="A20" s="9">
        <v>11</v>
      </c>
      <c r="B20" s="200" t="s">
        <v>32</v>
      </c>
      <c r="C20" s="206" t="s">
        <v>590</v>
      </c>
      <c r="D20" s="184" t="s">
        <v>592</v>
      </c>
      <c r="E20" s="182">
        <v>2</v>
      </c>
      <c r="F20" s="201">
        <v>32</v>
      </c>
      <c r="G20" s="182" t="s">
        <v>70</v>
      </c>
      <c r="H20" s="200"/>
      <c r="I20" s="200"/>
      <c r="J20" s="182"/>
      <c r="K20" s="202"/>
      <c r="L20" s="182"/>
      <c r="M20" s="330" t="s">
        <v>595</v>
      </c>
      <c r="N20" s="278"/>
      <c r="O20" s="278"/>
      <c r="P20" s="279"/>
    </row>
    <row r="21" spans="1:16" ht="47.1" customHeight="1">
      <c r="A21" s="9">
        <v>12</v>
      </c>
      <c r="B21" s="200" t="s">
        <v>32</v>
      </c>
      <c r="C21" s="206" t="s">
        <v>348</v>
      </c>
      <c r="D21" s="184" t="s">
        <v>593</v>
      </c>
      <c r="E21" s="204">
        <v>2</v>
      </c>
      <c r="F21" s="201">
        <v>4</v>
      </c>
      <c r="G21" s="182" t="s">
        <v>70</v>
      </c>
      <c r="H21" s="200"/>
      <c r="I21" s="200"/>
      <c r="J21" s="182"/>
      <c r="K21" s="191"/>
      <c r="L21" s="182"/>
      <c r="M21" s="330" t="s">
        <v>596</v>
      </c>
      <c r="N21" s="278"/>
      <c r="O21" s="278"/>
      <c r="P21" s="279"/>
    </row>
    <row r="22" spans="1:16" ht="47.1" customHeight="1">
      <c r="A22" s="9">
        <v>13</v>
      </c>
      <c r="B22" s="200" t="s">
        <v>33</v>
      </c>
      <c r="C22" s="206" t="s">
        <v>597</v>
      </c>
      <c r="D22" s="184" t="s">
        <v>374</v>
      </c>
      <c r="E22" s="204">
        <v>2</v>
      </c>
      <c r="F22" s="201">
        <v>2</v>
      </c>
      <c r="G22" s="182" t="s">
        <v>70</v>
      </c>
      <c r="H22" s="200"/>
      <c r="I22" s="200"/>
      <c r="J22" s="182"/>
      <c r="K22" s="191"/>
      <c r="L22" s="182"/>
      <c r="M22" s="330" t="s">
        <v>349</v>
      </c>
      <c r="N22" s="278"/>
      <c r="O22" s="278"/>
      <c r="P22" s="279"/>
    </row>
    <row r="23" spans="1:16" ht="47.1" customHeight="1">
      <c r="A23" s="9">
        <v>14</v>
      </c>
      <c r="B23" s="200"/>
      <c r="C23" s="206"/>
      <c r="D23" s="184"/>
      <c r="E23" s="204"/>
      <c r="F23" s="201"/>
      <c r="G23" s="182"/>
      <c r="H23" s="200"/>
      <c r="I23" s="200"/>
      <c r="J23" s="182"/>
      <c r="K23" s="191"/>
      <c r="L23" s="182"/>
      <c r="M23" s="330"/>
      <c r="N23" s="278"/>
      <c r="O23" s="278"/>
      <c r="P23" s="279"/>
    </row>
    <row r="24" spans="1:16" ht="47.1" customHeight="1">
      <c r="A24" s="9">
        <v>15</v>
      </c>
      <c r="B24" s="200"/>
      <c r="C24" s="206"/>
      <c r="D24" s="184"/>
      <c r="E24" s="204"/>
      <c r="F24" s="201"/>
      <c r="G24" s="182"/>
      <c r="H24" s="200"/>
      <c r="I24" s="200"/>
      <c r="J24" s="182"/>
      <c r="K24" s="191"/>
      <c r="L24" s="182"/>
      <c r="M24" s="330"/>
      <c r="N24" s="278"/>
      <c r="O24" s="278"/>
      <c r="P24" s="279"/>
    </row>
    <row r="25" spans="1:16" ht="47.1" customHeight="1">
      <c r="A25" s="9">
        <v>16</v>
      </c>
      <c r="B25" s="200"/>
      <c r="C25" s="206"/>
      <c r="D25" s="184"/>
      <c r="E25" s="204"/>
      <c r="F25" s="201"/>
      <c r="G25" s="182"/>
      <c r="H25" s="200"/>
      <c r="I25" s="200"/>
      <c r="J25" s="182"/>
      <c r="K25" s="191"/>
      <c r="L25" s="182"/>
      <c r="M25" s="330"/>
      <c r="N25" s="278"/>
      <c r="O25" s="278"/>
      <c r="P25" s="279"/>
    </row>
    <row r="26" spans="1:16" ht="47.1" customHeight="1">
      <c r="A26" s="9">
        <v>17</v>
      </c>
      <c r="B26" s="200"/>
      <c r="C26" s="206"/>
      <c r="D26" s="184"/>
      <c r="E26" s="204"/>
      <c r="F26" s="201"/>
      <c r="G26" s="182"/>
      <c r="H26" s="200"/>
      <c r="I26" s="200"/>
      <c r="J26" s="182"/>
      <c r="K26" s="191"/>
      <c r="L26" s="182"/>
      <c r="M26" s="330"/>
      <c r="N26" s="278"/>
      <c r="O26" s="278"/>
      <c r="P26" s="279"/>
    </row>
    <row r="27" spans="1:16" ht="47.1" customHeight="1">
      <c r="A27" s="9">
        <v>18</v>
      </c>
      <c r="B27" s="200"/>
      <c r="C27" s="206"/>
      <c r="D27" s="184"/>
      <c r="E27" s="204"/>
      <c r="F27" s="201"/>
      <c r="G27" s="182"/>
      <c r="H27" s="200"/>
      <c r="I27" s="200"/>
      <c r="J27" s="182"/>
      <c r="K27" s="191"/>
      <c r="L27" s="182"/>
      <c r="M27" s="330"/>
      <c r="N27" s="278"/>
      <c r="O27" s="278"/>
      <c r="P27" s="279"/>
    </row>
    <row r="28" spans="1:16" ht="47.1" customHeight="1">
      <c r="A28" s="9">
        <v>19</v>
      </c>
      <c r="B28" s="200"/>
      <c r="C28" s="329" t="s">
        <v>867</v>
      </c>
      <c r="D28" s="184" t="s">
        <v>326</v>
      </c>
      <c r="E28" s="204">
        <v>3</v>
      </c>
      <c r="F28" s="201">
        <v>2</v>
      </c>
      <c r="G28" s="182" t="s">
        <v>70</v>
      </c>
      <c r="H28" s="200"/>
      <c r="I28" s="200"/>
      <c r="J28" s="182"/>
      <c r="K28" s="191"/>
      <c r="L28" s="182"/>
      <c r="M28" s="330"/>
      <c r="N28" s="278"/>
      <c r="O28" s="278"/>
      <c r="P28" s="279"/>
    </row>
    <row r="29" spans="1:16" ht="47.1" customHeight="1">
      <c r="A29" s="9">
        <v>20</v>
      </c>
      <c r="B29" s="200"/>
      <c r="C29" s="329" t="s">
        <v>868</v>
      </c>
      <c r="D29" s="184" t="s">
        <v>326</v>
      </c>
      <c r="E29" s="204">
        <v>4</v>
      </c>
      <c r="F29" s="201">
        <v>1</v>
      </c>
      <c r="G29" s="182" t="s">
        <v>70</v>
      </c>
      <c r="H29" s="200"/>
      <c r="I29" s="200"/>
      <c r="J29" s="182"/>
      <c r="K29" s="191"/>
      <c r="L29" s="182"/>
      <c r="M29" s="330"/>
      <c r="N29" s="278"/>
      <c r="O29" s="278"/>
      <c r="P29" s="279"/>
    </row>
    <row r="30" spans="1:16" ht="47.1" customHeight="1">
      <c r="A30" s="9">
        <v>21</v>
      </c>
      <c r="B30" s="200"/>
      <c r="C30" s="206" t="s">
        <v>917</v>
      </c>
      <c r="D30" s="203" t="s">
        <v>914</v>
      </c>
      <c r="E30" s="204">
        <v>4</v>
      </c>
      <c r="F30" s="201">
        <v>1</v>
      </c>
      <c r="G30" s="204" t="s">
        <v>72</v>
      </c>
      <c r="H30" s="206"/>
      <c r="I30" s="206"/>
      <c r="J30" s="204"/>
      <c r="K30" s="207"/>
      <c r="L30" s="204"/>
      <c r="M30" s="350" t="s">
        <v>915</v>
      </c>
      <c r="N30" s="351"/>
      <c r="O30" s="351"/>
      <c r="P30" s="352"/>
    </row>
    <row r="31" spans="1:16" ht="47.1" customHeight="1">
      <c r="A31" s="9">
        <v>22</v>
      </c>
      <c r="B31" s="200"/>
      <c r="C31" s="206" t="s">
        <v>917</v>
      </c>
      <c r="D31" s="353" t="s">
        <v>922</v>
      </c>
      <c r="E31" s="204">
        <v>4</v>
      </c>
      <c r="F31" s="201">
        <v>2</v>
      </c>
      <c r="G31" s="204" t="s">
        <v>70</v>
      </c>
      <c r="H31" s="206"/>
      <c r="I31" s="206"/>
      <c r="J31" s="204"/>
      <c r="K31" s="207"/>
      <c r="L31" s="204"/>
      <c r="M31" s="350" t="s">
        <v>915</v>
      </c>
      <c r="N31" s="351"/>
      <c r="O31" s="351"/>
      <c r="P31" s="352"/>
    </row>
    <row r="32" spans="1:16" ht="47.1" customHeight="1">
      <c r="A32" s="9">
        <v>23</v>
      </c>
      <c r="B32" s="200"/>
      <c r="C32" s="206" t="s">
        <v>917</v>
      </c>
      <c r="D32" s="353" t="s">
        <v>923</v>
      </c>
      <c r="E32" s="204">
        <v>4</v>
      </c>
      <c r="F32" s="201">
        <v>1</v>
      </c>
      <c r="G32" s="204" t="s">
        <v>70</v>
      </c>
      <c r="H32" s="206"/>
      <c r="I32" s="206"/>
      <c r="J32" s="204"/>
      <c r="K32" s="207"/>
      <c r="L32" s="204"/>
      <c r="M32" s="350" t="s">
        <v>915</v>
      </c>
      <c r="N32" s="351"/>
      <c r="O32" s="351"/>
      <c r="P32" s="352"/>
    </row>
    <row r="33" spans="1:16" ht="47.25">
      <c r="A33" s="9">
        <v>24</v>
      </c>
      <c r="B33" s="200"/>
      <c r="C33" s="206" t="s">
        <v>403</v>
      </c>
      <c r="D33" s="203" t="s">
        <v>918</v>
      </c>
      <c r="E33" s="204">
        <v>4</v>
      </c>
      <c r="F33" s="201">
        <v>12</v>
      </c>
      <c r="G33" s="204" t="s">
        <v>646</v>
      </c>
      <c r="H33" s="206"/>
      <c r="I33" s="206"/>
      <c r="J33" s="204"/>
      <c r="K33" s="207"/>
      <c r="L33" s="204"/>
      <c r="M33" s="350" t="s">
        <v>915</v>
      </c>
      <c r="N33" s="351"/>
      <c r="O33" s="351"/>
      <c r="P33" s="352"/>
    </row>
    <row r="34" spans="1:16" ht="47.1" customHeight="1">
      <c r="A34" s="9">
        <v>25</v>
      </c>
      <c r="B34" s="200"/>
      <c r="C34" s="206" t="s">
        <v>404</v>
      </c>
      <c r="D34" s="203" t="s">
        <v>916</v>
      </c>
      <c r="E34" s="204">
        <v>4</v>
      </c>
      <c r="F34" s="201">
        <v>24</v>
      </c>
      <c r="G34" s="204" t="s">
        <v>646</v>
      </c>
      <c r="H34" s="206"/>
      <c r="I34" s="206"/>
      <c r="J34" s="204"/>
      <c r="K34" s="207"/>
      <c r="L34" s="204"/>
      <c r="M34" s="350" t="s">
        <v>915</v>
      </c>
      <c r="N34" s="351"/>
      <c r="O34" s="351"/>
      <c r="P34" s="352"/>
    </row>
    <row r="35" spans="1:16" ht="47.1" customHeight="1">
      <c r="A35" s="9">
        <v>26</v>
      </c>
      <c r="B35" s="200"/>
      <c r="C35" s="206" t="s">
        <v>405</v>
      </c>
      <c r="D35" s="203" t="s">
        <v>919</v>
      </c>
      <c r="E35" s="204">
        <v>4</v>
      </c>
      <c r="F35" s="201">
        <v>24</v>
      </c>
      <c r="G35" s="204" t="s">
        <v>646</v>
      </c>
      <c r="H35" s="206"/>
      <c r="I35" s="206"/>
      <c r="J35" s="204"/>
      <c r="K35" s="207"/>
      <c r="L35" s="204"/>
      <c r="M35" s="350" t="s">
        <v>921</v>
      </c>
      <c r="N35" s="351"/>
      <c r="O35" s="351"/>
      <c r="P35" s="352"/>
    </row>
    <row r="36" spans="1:16" ht="47.1" customHeight="1">
      <c r="A36" s="9">
        <v>27</v>
      </c>
      <c r="B36" s="200"/>
      <c r="C36" s="206" t="s">
        <v>590</v>
      </c>
      <c r="D36" s="203" t="s">
        <v>920</v>
      </c>
      <c r="E36" s="204">
        <v>4</v>
      </c>
      <c r="F36" s="201">
        <v>12</v>
      </c>
      <c r="G36" s="204" t="s">
        <v>646</v>
      </c>
      <c r="H36" s="206"/>
      <c r="I36" s="206"/>
      <c r="J36" s="204"/>
      <c r="K36" s="207"/>
      <c r="L36" s="204"/>
      <c r="M36" s="350" t="s">
        <v>921</v>
      </c>
      <c r="N36" s="351"/>
      <c r="O36" s="351"/>
      <c r="P36" s="352"/>
    </row>
    <row r="37" spans="1:16" ht="47.1" customHeight="1">
      <c r="A37" s="9">
        <v>28</v>
      </c>
      <c r="B37" s="200"/>
      <c r="C37" s="329"/>
      <c r="D37" s="184"/>
      <c r="E37" s="204"/>
      <c r="F37" s="201"/>
      <c r="G37" s="182"/>
      <c r="H37" s="200"/>
      <c r="I37" s="200"/>
      <c r="J37" s="182"/>
      <c r="K37" s="191"/>
      <c r="L37" s="182"/>
      <c r="M37" s="330"/>
      <c r="N37" s="278"/>
      <c r="O37" s="278"/>
      <c r="P37" s="279"/>
    </row>
    <row r="38" spans="1:16" ht="47.1" customHeight="1">
      <c r="A38" s="9">
        <v>29</v>
      </c>
      <c r="B38" s="200"/>
      <c r="C38" s="329"/>
      <c r="D38" s="184"/>
      <c r="E38" s="204"/>
      <c r="F38" s="201"/>
      <c r="G38" s="182"/>
      <c r="H38" s="200"/>
      <c r="I38" s="200"/>
      <c r="J38" s="182"/>
      <c r="K38" s="191"/>
      <c r="L38" s="182"/>
      <c r="M38" s="330"/>
      <c r="N38" s="278"/>
      <c r="O38" s="278"/>
      <c r="P38" s="279"/>
    </row>
    <row r="39" spans="1:16" ht="47.1" customHeight="1">
      <c r="A39" s="9">
        <v>30</v>
      </c>
      <c r="B39" s="200"/>
      <c r="C39" s="329"/>
      <c r="D39" s="184"/>
      <c r="E39" s="204"/>
      <c r="F39" s="201"/>
      <c r="G39" s="182"/>
      <c r="H39" s="200"/>
      <c r="I39" s="200"/>
      <c r="J39" s="182"/>
      <c r="K39" s="191"/>
      <c r="L39" s="182"/>
      <c r="M39" s="330"/>
      <c r="N39" s="278"/>
      <c r="O39" s="278"/>
      <c r="P39" s="279"/>
    </row>
    <row r="40" spans="1:16" ht="47.1" customHeight="1">
      <c r="A40" s="9">
        <v>31</v>
      </c>
      <c r="B40" s="200"/>
      <c r="C40" s="329"/>
      <c r="D40" s="184"/>
      <c r="E40" s="204"/>
      <c r="F40" s="201"/>
      <c r="G40" s="182"/>
      <c r="H40" s="200"/>
      <c r="I40" s="200"/>
      <c r="J40" s="182"/>
      <c r="K40" s="191"/>
      <c r="L40" s="182"/>
      <c r="M40" s="330"/>
      <c r="N40" s="278"/>
      <c r="O40" s="278"/>
      <c r="P40" s="279"/>
    </row>
    <row r="41" spans="1:16" ht="47.1" customHeight="1">
      <c r="A41" s="9">
        <v>32</v>
      </c>
      <c r="B41" s="200" t="s">
        <v>69</v>
      </c>
      <c r="C41" s="329" t="s">
        <v>869</v>
      </c>
      <c r="D41" s="184" t="s">
        <v>147</v>
      </c>
      <c r="E41" s="204">
        <v>5</v>
      </c>
      <c r="F41" s="201">
        <v>1</v>
      </c>
      <c r="G41" s="182" t="s">
        <v>70</v>
      </c>
      <c r="H41" s="200"/>
      <c r="I41" s="200"/>
      <c r="J41" s="182"/>
      <c r="K41" s="191"/>
      <c r="L41" s="182"/>
      <c r="M41" s="330"/>
      <c r="N41" s="278"/>
      <c r="O41" s="278"/>
      <c r="P41" s="279"/>
    </row>
    <row r="42" spans="1:16" ht="47.1" customHeight="1">
      <c r="A42" s="9">
        <v>33</v>
      </c>
      <c r="B42" s="206"/>
      <c r="C42" s="329" t="s">
        <v>870</v>
      </c>
      <c r="D42" s="203" t="s">
        <v>225</v>
      </c>
      <c r="E42" s="204">
        <v>5</v>
      </c>
      <c r="F42" s="201">
        <v>1</v>
      </c>
      <c r="G42" s="204" t="s">
        <v>70</v>
      </c>
      <c r="H42" s="206"/>
      <c r="I42" s="206"/>
      <c r="J42" s="204" t="s">
        <v>599</v>
      </c>
      <c r="K42" s="207" t="s">
        <v>598</v>
      </c>
      <c r="L42" s="204">
        <v>2</v>
      </c>
      <c r="M42" s="330"/>
      <c r="N42" s="278"/>
      <c r="O42" s="278"/>
      <c r="P42" s="279"/>
    </row>
    <row r="43" spans="1:16" ht="47.1" customHeight="1">
      <c r="A43" s="9">
        <v>34</v>
      </c>
      <c r="B43" s="200" t="s">
        <v>550</v>
      </c>
      <c r="C43" s="206" t="s">
        <v>600</v>
      </c>
      <c r="D43" s="184" t="s">
        <v>255</v>
      </c>
      <c r="E43" s="182">
        <v>5</v>
      </c>
      <c r="F43" s="201">
        <v>1</v>
      </c>
      <c r="G43" s="182" t="s">
        <v>70</v>
      </c>
      <c r="H43" s="200"/>
      <c r="I43" s="200"/>
      <c r="J43" s="182"/>
      <c r="K43" s="202"/>
      <c r="L43" s="182"/>
      <c r="M43" s="330"/>
      <c r="N43" s="278"/>
      <c r="O43" s="278"/>
      <c r="P43" s="279"/>
    </row>
    <row r="44" spans="1:16" ht="47.1" customHeight="1">
      <c r="A44" s="9">
        <v>35</v>
      </c>
      <c r="B44" s="200" t="s">
        <v>495</v>
      </c>
      <c r="C44" s="206" t="s">
        <v>603</v>
      </c>
      <c r="D44" s="184" t="s">
        <v>496</v>
      </c>
      <c r="E44" s="182">
        <v>5</v>
      </c>
      <c r="F44" s="201">
        <v>1</v>
      </c>
      <c r="G44" s="182" t="s">
        <v>70</v>
      </c>
      <c r="H44" s="200"/>
      <c r="I44" s="200"/>
      <c r="J44" s="182"/>
      <c r="K44" s="202"/>
      <c r="L44" s="182"/>
      <c r="M44" s="330" t="s">
        <v>605</v>
      </c>
      <c r="N44" s="278"/>
      <c r="O44" s="278"/>
      <c r="P44" s="279"/>
    </row>
    <row r="45" spans="1:16" ht="47.1" customHeight="1">
      <c r="A45" s="9">
        <v>36</v>
      </c>
      <c r="B45" s="200" t="s">
        <v>602</v>
      </c>
      <c r="C45" s="206" t="s">
        <v>604</v>
      </c>
      <c r="D45" s="184" t="s">
        <v>496</v>
      </c>
      <c r="E45" s="182">
        <v>5</v>
      </c>
      <c r="F45" s="201">
        <v>1</v>
      </c>
      <c r="G45" s="182" t="s">
        <v>70</v>
      </c>
      <c r="H45" s="200"/>
      <c r="I45" s="200"/>
      <c r="J45" s="182"/>
      <c r="K45" s="202"/>
      <c r="L45" s="182"/>
      <c r="M45" s="330" t="s">
        <v>605</v>
      </c>
      <c r="N45" s="278"/>
      <c r="O45" s="278"/>
      <c r="P45" s="279"/>
    </row>
    <row r="46" spans="1:16" ht="47.1" customHeight="1">
      <c r="A46" s="9">
        <v>37</v>
      </c>
      <c r="B46" s="200" t="s">
        <v>28</v>
      </c>
      <c r="C46" s="206" t="s">
        <v>471</v>
      </c>
      <c r="D46" s="184" t="s">
        <v>144</v>
      </c>
      <c r="E46" s="182">
        <v>5</v>
      </c>
      <c r="F46" s="201">
        <v>1</v>
      </c>
      <c r="G46" s="204" t="s">
        <v>70</v>
      </c>
      <c r="H46" s="200"/>
      <c r="I46" s="200"/>
      <c r="J46" s="182"/>
      <c r="K46" s="202"/>
      <c r="L46" s="182"/>
      <c r="M46" s="330"/>
      <c r="N46" s="278"/>
      <c r="O46" s="278"/>
      <c r="P46" s="279"/>
    </row>
    <row r="47" spans="1:16" ht="47.1" customHeight="1">
      <c r="A47" s="9">
        <v>38</v>
      </c>
      <c r="B47" s="200" t="s">
        <v>606</v>
      </c>
      <c r="C47" s="206" t="s">
        <v>607</v>
      </c>
      <c r="D47" s="184" t="s">
        <v>148</v>
      </c>
      <c r="E47" s="182">
        <v>5</v>
      </c>
      <c r="F47" s="201">
        <v>1</v>
      </c>
      <c r="G47" s="204" t="s">
        <v>70</v>
      </c>
      <c r="H47" s="200"/>
      <c r="I47" s="200"/>
      <c r="J47" s="182"/>
      <c r="K47" s="202"/>
      <c r="L47" s="182"/>
      <c r="M47" s="330" t="s">
        <v>610</v>
      </c>
      <c r="N47" s="278"/>
      <c r="O47" s="278"/>
      <c r="P47" s="279"/>
    </row>
    <row r="48" spans="1:16" ht="47.1" customHeight="1">
      <c r="A48" s="9">
        <v>39</v>
      </c>
      <c r="B48" s="200" t="s">
        <v>474</v>
      </c>
      <c r="C48" s="206" t="s">
        <v>608</v>
      </c>
      <c r="D48" s="184" t="s">
        <v>148</v>
      </c>
      <c r="E48" s="182">
        <v>5</v>
      </c>
      <c r="F48" s="201">
        <v>1</v>
      </c>
      <c r="G48" s="204" t="s">
        <v>70</v>
      </c>
      <c r="H48" s="200"/>
      <c r="I48" s="200"/>
      <c r="J48" s="182"/>
      <c r="K48" s="202"/>
      <c r="L48" s="182"/>
      <c r="M48" s="330" t="s">
        <v>609</v>
      </c>
      <c r="N48" s="278"/>
      <c r="O48" s="278"/>
      <c r="P48" s="279"/>
    </row>
    <row r="49" spans="1:16" ht="47.1" customHeight="1">
      <c r="A49" s="9">
        <v>40</v>
      </c>
      <c r="B49" s="200" t="s">
        <v>35</v>
      </c>
      <c r="C49" s="327" t="s">
        <v>601</v>
      </c>
      <c r="D49" s="184" t="s">
        <v>174</v>
      </c>
      <c r="E49" s="182">
        <v>5</v>
      </c>
      <c r="F49" s="201">
        <v>1</v>
      </c>
      <c r="G49" s="182" t="s">
        <v>70</v>
      </c>
      <c r="H49" s="200"/>
      <c r="I49" s="200"/>
      <c r="J49" s="182"/>
      <c r="K49" s="202"/>
      <c r="L49" s="182"/>
      <c r="M49" s="330" t="s">
        <v>380</v>
      </c>
      <c r="N49" s="278"/>
      <c r="O49" s="278"/>
      <c r="P49" s="279"/>
    </row>
    <row r="50" spans="1:16" ht="47.1" customHeight="1">
      <c r="A50" s="9">
        <v>41</v>
      </c>
      <c r="B50" s="200"/>
      <c r="C50" s="327" t="s">
        <v>441</v>
      </c>
      <c r="D50" s="184" t="s">
        <v>611</v>
      </c>
      <c r="E50" s="182">
        <v>5</v>
      </c>
      <c r="F50" s="201">
        <v>3</v>
      </c>
      <c r="G50" s="182" t="s">
        <v>70</v>
      </c>
      <c r="H50" s="200"/>
      <c r="I50" s="200"/>
      <c r="J50" s="182"/>
      <c r="K50" s="202"/>
      <c r="L50" s="182"/>
      <c r="M50" s="330" t="s">
        <v>429</v>
      </c>
      <c r="N50" s="278"/>
      <c r="O50" s="278"/>
      <c r="P50" s="279"/>
    </row>
    <row r="51" spans="1:16" ht="47.1" customHeight="1">
      <c r="A51" s="9">
        <v>42</v>
      </c>
      <c r="B51" s="200"/>
      <c r="C51" s="327" t="s">
        <v>442</v>
      </c>
      <c r="D51" s="184" t="s">
        <v>191</v>
      </c>
      <c r="E51" s="182">
        <v>5</v>
      </c>
      <c r="F51" s="201">
        <v>3</v>
      </c>
      <c r="G51" s="182" t="s">
        <v>70</v>
      </c>
      <c r="H51" s="200"/>
      <c r="I51" s="200"/>
      <c r="J51" s="182"/>
      <c r="K51" s="202"/>
      <c r="L51" s="182"/>
      <c r="M51" s="330" t="s">
        <v>451</v>
      </c>
      <c r="N51" s="278"/>
      <c r="O51" s="278"/>
      <c r="P51" s="279"/>
    </row>
    <row r="52" spans="1:16" ht="47.1" customHeight="1">
      <c r="A52" s="9">
        <v>43</v>
      </c>
      <c r="B52" s="200"/>
      <c r="C52" s="327" t="s">
        <v>443</v>
      </c>
      <c r="D52" s="184" t="s">
        <v>516</v>
      </c>
      <c r="E52" s="182">
        <v>5</v>
      </c>
      <c r="F52" s="201">
        <v>3</v>
      </c>
      <c r="G52" s="182" t="s">
        <v>70</v>
      </c>
      <c r="H52" s="200"/>
      <c r="I52" s="200"/>
      <c r="J52" s="182"/>
      <c r="K52" s="202"/>
      <c r="L52" s="182"/>
      <c r="M52" s="330" t="s">
        <v>448</v>
      </c>
      <c r="N52" s="278"/>
      <c r="O52" s="278"/>
      <c r="P52" s="279"/>
    </row>
    <row r="53" spans="1:16" ht="47.1" customHeight="1">
      <c r="A53" s="9">
        <v>44</v>
      </c>
      <c r="B53" s="200"/>
      <c r="C53" s="327" t="s">
        <v>444</v>
      </c>
      <c r="D53" s="184" t="s">
        <v>445</v>
      </c>
      <c r="E53" s="182">
        <v>5</v>
      </c>
      <c r="F53" s="201">
        <v>3</v>
      </c>
      <c r="G53" s="182" t="s">
        <v>70</v>
      </c>
      <c r="H53" s="200"/>
      <c r="I53" s="200"/>
      <c r="J53" s="182"/>
      <c r="K53" s="202"/>
      <c r="L53" s="182"/>
      <c r="M53" s="330" t="s">
        <v>449</v>
      </c>
      <c r="N53" s="278"/>
      <c r="O53" s="278"/>
      <c r="P53" s="279"/>
    </row>
    <row r="54" spans="1:16" ht="47.1" customHeight="1">
      <c r="A54" s="9">
        <v>45</v>
      </c>
      <c r="B54" s="200"/>
      <c r="C54" s="327" t="s">
        <v>446</v>
      </c>
      <c r="D54" s="184" t="s">
        <v>447</v>
      </c>
      <c r="E54" s="182">
        <v>5</v>
      </c>
      <c r="F54" s="201">
        <v>3</v>
      </c>
      <c r="G54" s="182" t="s">
        <v>70</v>
      </c>
      <c r="H54" s="200"/>
      <c r="I54" s="200"/>
      <c r="J54" s="182"/>
      <c r="K54" s="202"/>
      <c r="L54" s="182"/>
      <c r="M54" s="330" t="s">
        <v>450</v>
      </c>
      <c r="N54" s="278"/>
      <c r="O54" s="278"/>
      <c r="P54" s="279"/>
    </row>
    <row r="55" spans="1:16" ht="47.1" customHeight="1">
      <c r="A55" s="9">
        <v>46</v>
      </c>
      <c r="B55" s="200"/>
      <c r="C55" s="327"/>
      <c r="D55" s="184"/>
      <c r="E55" s="182"/>
      <c r="F55" s="201"/>
      <c r="G55" s="182"/>
      <c r="H55" s="200"/>
      <c r="I55" s="200"/>
      <c r="J55" s="182"/>
      <c r="K55" s="202"/>
      <c r="L55" s="182"/>
      <c r="M55" s="330"/>
      <c r="N55" s="278"/>
      <c r="O55" s="278"/>
      <c r="P55" s="279"/>
    </row>
    <row r="56" spans="1:16" ht="47.1" customHeight="1">
      <c r="A56" s="9">
        <v>47</v>
      </c>
      <c r="B56" s="200"/>
      <c r="C56" s="327"/>
      <c r="D56" s="184"/>
      <c r="E56" s="182"/>
      <c r="F56" s="201"/>
      <c r="G56" s="182"/>
      <c r="H56" s="200"/>
      <c r="I56" s="200"/>
      <c r="J56" s="182"/>
      <c r="K56" s="202"/>
      <c r="L56" s="182"/>
      <c r="M56" s="330"/>
      <c r="N56" s="278"/>
      <c r="O56" s="278"/>
      <c r="P56" s="279"/>
    </row>
    <row r="57" spans="1:16" ht="47.1" customHeight="1">
      <c r="A57" s="9">
        <v>48</v>
      </c>
      <c r="B57" s="200"/>
      <c r="C57" s="327"/>
      <c r="D57" s="184"/>
      <c r="E57" s="182"/>
      <c r="F57" s="201"/>
      <c r="G57" s="182"/>
      <c r="H57" s="200"/>
      <c r="I57" s="200"/>
      <c r="J57" s="182"/>
      <c r="K57" s="202"/>
      <c r="L57" s="182"/>
      <c r="M57" s="330"/>
      <c r="N57" s="278"/>
      <c r="O57" s="278"/>
      <c r="P57" s="279"/>
    </row>
    <row r="58" spans="1:16" ht="47.1" customHeight="1">
      <c r="A58" s="9">
        <v>49</v>
      </c>
      <c r="B58" s="200"/>
      <c r="C58" s="327"/>
      <c r="D58" s="184"/>
      <c r="E58" s="182"/>
      <c r="F58" s="201"/>
      <c r="G58" s="182"/>
      <c r="H58" s="200"/>
      <c r="I58" s="200"/>
      <c r="J58" s="182"/>
      <c r="K58" s="202"/>
      <c r="L58" s="182"/>
      <c r="M58" s="330"/>
      <c r="N58" s="278"/>
      <c r="O58" s="278"/>
      <c r="P58" s="279"/>
    </row>
    <row r="59" spans="1:16" ht="47.1" customHeight="1">
      <c r="A59" s="9">
        <v>50</v>
      </c>
      <c r="B59" s="200"/>
      <c r="C59" s="327"/>
      <c r="D59" s="184"/>
      <c r="E59" s="182"/>
      <c r="F59" s="201"/>
      <c r="G59" s="182"/>
      <c r="H59" s="200"/>
      <c r="I59" s="200"/>
      <c r="J59" s="182"/>
      <c r="K59" s="202"/>
      <c r="L59" s="182"/>
      <c r="M59" s="330"/>
      <c r="N59" s="278"/>
      <c r="O59" s="278"/>
      <c r="P59" s="279"/>
    </row>
    <row r="60" spans="1:16" ht="47.1" customHeight="1">
      <c r="A60" s="9">
        <v>51</v>
      </c>
      <c r="B60" s="200" t="s">
        <v>36</v>
      </c>
      <c r="C60" s="327" t="s">
        <v>612</v>
      </c>
      <c r="D60" s="184" t="s">
        <v>149</v>
      </c>
      <c r="E60" s="182">
        <v>6</v>
      </c>
      <c r="F60" s="201">
        <v>2</v>
      </c>
      <c r="G60" s="182" t="s">
        <v>70</v>
      </c>
      <c r="H60" s="200"/>
      <c r="I60" s="200"/>
      <c r="J60" s="182"/>
      <c r="K60" s="202"/>
      <c r="L60" s="182"/>
      <c r="M60" s="330" t="s">
        <v>62</v>
      </c>
      <c r="N60" s="278"/>
      <c r="O60" s="278"/>
      <c r="P60" s="279"/>
    </row>
    <row r="61" spans="1:16" ht="47.1" customHeight="1">
      <c r="A61" s="9">
        <v>52</v>
      </c>
      <c r="B61" s="200" t="s">
        <v>36</v>
      </c>
      <c r="C61" s="327" t="s">
        <v>612</v>
      </c>
      <c r="D61" s="184" t="s">
        <v>149</v>
      </c>
      <c r="E61" s="182">
        <v>7</v>
      </c>
      <c r="F61" s="201">
        <v>2</v>
      </c>
      <c r="G61" s="182" t="s">
        <v>70</v>
      </c>
      <c r="H61" s="200"/>
      <c r="I61" s="200"/>
      <c r="J61" s="182"/>
      <c r="K61" s="202"/>
      <c r="L61" s="182"/>
      <c r="M61" s="330" t="s">
        <v>62</v>
      </c>
      <c r="N61" s="278"/>
      <c r="O61" s="278"/>
      <c r="P61" s="279"/>
    </row>
    <row r="62" spans="1:16" ht="47.1" customHeight="1">
      <c r="A62" s="9">
        <v>53</v>
      </c>
      <c r="B62" s="206" t="s">
        <v>36</v>
      </c>
      <c r="C62" s="327" t="s">
        <v>613</v>
      </c>
      <c r="D62" s="184" t="s">
        <v>149</v>
      </c>
      <c r="E62" s="182">
        <v>8</v>
      </c>
      <c r="F62" s="201">
        <v>3</v>
      </c>
      <c r="G62" s="204" t="s">
        <v>70</v>
      </c>
      <c r="H62" s="200"/>
      <c r="I62" s="200"/>
      <c r="J62" s="182"/>
      <c r="K62" s="202"/>
      <c r="L62" s="182"/>
      <c r="M62" s="330" t="s">
        <v>62</v>
      </c>
      <c r="N62" s="278"/>
      <c r="O62" s="278"/>
      <c r="P62" s="279"/>
    </row>
    <row r="63" spans="1:16" ht="47.1" customHeight="1">
      <c r="A63" s="9">
        <v>54</v>
      </c>
      <c r="B63" s="206" t="s">
        <v>36</v>
      </c>
      <c r="C63" s="327" t="s">
        <v>613</v>
      </c>
      <c r="D63" s="184" t="s">
        <v>149</v>
      </c>
      <c r="E63" s="182">
        <v>9</v>
      </c>
      <c r="F63" s="201">
        <v>1</v>
      </c>
      <c r="G63" s="204" t="s">
        <v>70</v>
      </c>
      <c r="H63" s="200"/>
      <c r="I63" s="200"/>
      <c r="J63" s="182"/>
      <c r="K63" s="202"/>
      <c r="L63" s="216"/>
      <c r="M63" s="330" t="s">
        <v>62</v>
      </c>
      <c r="N63" s="278"/>
      <c r="O63" s="278"/>
      <c r="P63" s="279"/>
    </row>
    <row r="64" spans="1:16" ht="47.1" customHeight="1">
      <c r="A64" s="9">
        <v>55</v>
      </c>
      <c r="B64" s="200" t="s">
        <v>36</v>
      </c>
      <c r="C64" s="327" t="s">
        <v>614</v>
      </c>
      <c r="D64" s="184" t="s">
        <v>149</v>
      </c>
      <c r="E64" s="182">
        <v>9</v>
      </c>
      <c r="F64" s="201">
        <v>2</v>
      </c>
      <c r="G64" s="182" t="s">
        <v>70</v>
      </c>
      <c r="H64" s="200"/>
      <c r="I64" s="200"/>
      <c r="J64" s="182"/>
      <c r="K64" s="202"/>
      <c r="L64" s="182"/>
      <c r="M64" s="330" t="s">
        <v>62</v>
      </c>
      <c r="N64" s="278"/>
      <c r="O64" s="278"/>
      <c r="P64" s="279"/>
    </row>
    <row r="65" spans="1:16" ht="47.1" customHeight="1">
      <c r="A65" s="9">
        <v>56</v>
      </c>
      <c r="B65" s="200" t="s">
        <v>36</v>
      </c>
      <c r="C65" s="327" t="s">
        <v>614</v>
      </c>
      <c r="D65" s="184" t="s">
        <v>149</v>
      </c>
      <c r="E65" s="182">
        <v>10</v>
      </c>
      <c r="F65" s="201">
        <v>3</v>
      </c>
      <c r="G65" s="182" t="s">
        <v>70</v>
      </c>
      <c r="H65" s="200"/>
      <c r="I65" s="200"/>
      <c r="J65" s="182"/>
      <c r="K65" s="202"/>
      <c r="L65" s="182"/>
      <c r="M65" s="330" t="s">
        <v>62</v>
      </c>
      <c r="N65" s="278"/>
      <c r="O65" s="278"/>
      <c r="P65" s="279"/>
    </row>
    <row r="66" spans="1:16" ht="47.1" customHeight="1">
      <c r="A66" s="9">
        <v>57</v>
      </c>
      <c r="B66" s="200" t="s">
        <v>36</v>
      </c>
      <c r="C66" s="327" t="s">
        <v>614</v>
      </c>
      <c r="D66" s="184" t="s">
        <v>149</v>
      </c>
      <c r="E66" s="182">
        <v>11</v>
      </c>
      <c r="F66" s="201">
        <v>3</v>
      </c>
      <c r="G66" s="182" t="s">
        <v>70</v>
      </c>
      <c r="H66" s="200"/>
      <c r="I66" s="200"/>
      <c r="J66" s="182"/>
      <c r="K66" s="202"/>
      <c r="L66" s="182"/>
      <c r="M66" s="330" t="s">
        <v>62</v>
      </c>
      <c r="N66" s="278"/>
      <c r="O66" s="278"/>
      <c r="P66" s="279"/>
    </row>
    <row r="67" spans="1:16" ht="47.1" customHeight="1">
      <c r="A67" s="9">
        <v>58</v>
      </c>
      <c r="B67" s="200" t="s">
        <v>36</v>
      </c>
      <c r="C67" s="327" t="s">
        <v>614</v>
      </c>
      <c r="D67" s="184" t="s">
        <v>149</v>
      </c>
      <c r="E67" s="182">
        <v>12</v>
      </c>
      <c r="F67" s="201">
        <v>3</v>
      </c>
      <c r="G67" s="182" t="s">
        <v>70</v>
      </c>
      <c r="H67" s="200"/>
      <c r="I67" s="200"/>
      <c r="J67" s="182"/>
      <c r="K67" s="202"/>
      <c r="L67" s="182"/>
      <c r="M67" s="330" t="s">
        <v>62</v>
      </c>
      <c r="N67" s="278"/>
      <c r="O67" s="278"/>
      <c r="P67" s="279"/>
    </row>
    <row r="68" spans="1:16" ht="47.1" customHeight="1">
      <c r="A68" s="9">
        <v>59</v>
      </c>
      <c r="B68" s="200" t="s">
        <v>36</v>
      </c>
      <c r="C68" s="327" t="s">
        <v>614</v>
      </c>
      <c r="D68" s="184" t="s">
        <v>149</v>
      </c>
      <c r="E68" s="182">
        <v>13</v>
      </c>
      <c r="F68" s="201">
        <v>3</v>
      </c>
      <c r="G68" s="182" t="s">
        <v>70</v>
      </c>
      <c r="H68" s="200"/>
      <c r="I68" s="200"/>
      <c r="J68" s="182"/>
      <c r="K68" s="202"/>
      <c r="L68" s="182"/>
      <c r="M68" s="330" t="s">
        <v>62</v>
      </c>
      <c r="N68" s="278"/>
      <c r="O68" s="278"/>
      <c r="P68" s="279"/>
    </row>
    <row r="69" spans="1:16" ht="47.1" customHeight="1">
      <c r="A69" s="9">
        <v>60</v>
      </c>
      <c r="B69" s="200" t="s">
        <v>36</v>
      </c>
      <c r="C69" s="327" t="s">
        <v>614</v>
      </c>
      <c r="D69" s="184" t="s">
        <v>149</v>
      </c>
      <c r="E69" s="182">
        <v>14</v>
      </c>
      <c r="F69" s="201">
        <v>3</v>
      </c>
      <c r="G69" s="182" t="s">
        <v>70</v>
      </c>
      <c r="H69" s="200"/>
      <c r="I69" s="200"/>
      <c r="J69" s="182"/>
      <c r="K69" s="202"/>
      <c r="L69" s="182"/>
      <c r="M69" s="330" t="s">
        <v>62</v>
      </c>
      <c r="N69" s="278"/>
      <c r="O69" s="278"/>
      <c r="P69" s="279"/>
    </row>
    <row r="70" spans="1:16" ht="47.1" customHeight="1">
      <c r="A70" s="9">
        <v>61</v>
      </c>
      <c r="B70" s="200" t="s">
        <v>36</v>
      </c>
      <c r="C70" s="327" t="s">
        <v>614</v>
      </c>
      <c r="D70" s="184" t="s">
        <v>149</v>
      </c>
      <c r="E70" s="182">
        <v>15</v>
      </c>
      <c r="F70" s="201">
        <v>3</v>
      </c>
      <c r="G70" s="182" t="s">
        <v>70</v>
      </c>
      <c r="H70" s="200"/>
      <c r="I70" s="200"/>
      <c r="J70" s="182"/>
      <c r="K70" s="202"/>
      <c r="L70" s="182"/>
      <c r="M70" s="330" t="s">
        <v>62</v>
      </c>
      <c r="N70" s="278"/>
      <c r="O70" s="278"/>
      <c r="P70" s="279"/>
    </row>
    <row r="71" spans="1:16" ht="47.1" customHeight="1">
      <c r="A71" s="9">
        <v>62</v>
      </c>
      <c r="B71" s="200"/>
      <c r="C71" s="327"/>
      <c r="D71" s="184"/>
      <c r="E71" s="182"/>
      <c r="F71" s="201"/>
      <c r="G71" s="182"/>
      <c r="H71" s="200"/>
      <c r="I71" s="200"/>
      <c r="J71" s="182"/>
      <c r="K71" s="202"/>
      <c r="L71" s="182"/>
      <c r="M71" s="330"/>
      <c r="N71" s="278"/>
      <c r="O71" s="278"/>
      <c r="P71" s="279"/>
    </row>
    <row r="72" spans="1:16" ht="47.1" customHeight="1">
      <c r="A72" s="9">
        <v>63</v>
      </c>
      <c r="B72" s="200"/>
      <c r="C72" s="327"/>
      <c r="D72" s="184"/>
      <c r="E72" s="182"/>
      <c r="F72" s="201"/>
      <c r="G72" s="182"/>
      <c r="H72" s="200"/>
      <c r="I72" s="200"/>
      <c r="J72" s="182"/>
      <c r="K72" s="202"/>
      <c r="L72" s="182"/>
      <c r="M72" s="330"/>
      <c r="N72" s="278"/>
      <c r="O72" s="278"/>
      <c r="P72" s="279"/>
    </row>
    <row r="73" spans="1:16" ht="47.1" customHeight="1">
      <c r="A73" s="9">
        <v>64</v>
      </c>
      <c r="B73" s="200"/>
      <c r="C73" s="327"/>
      <c r="D73" s="184"/>
      <c r="E73" s="182"/>
      <c r="F73" s="201"/>
      <c r="G73" s="182"/>
      <c r="H73" s="200"/>
      <c r="I73" s="200"/>
      <c r="J73" s="182"/>
      <c r="K73" s="202"/>
      <c r="L73" s="182"/>
      <c r="M73" s="330"/>
      <c r="N73" s="278"/>
      <c r="O73" s="278"/>
      <c r="P73" s="279"/>
    </row>
    <row r="74" spans="1:16" ht="47.1" customHeight="1">
      <c r="A74" s="9">
        <v>65</v>
      </c>
      <c r="B74" s="200"/>
      <c r="C74" s="327"/>
      <c r="D74" s="184"/>
      <c r="E74" s="182"/>
      <c r="F74" s="201"/>
      <c r="G74" s="182"/>
      <c r="H74" s="200"/>
      <c r="I74" s="200"/>
      <c r="J74" s="182"/>
      <c r="K74" s="202"/>
      <c r="L74" s="182"/>
      <c r="M74" s="330"/>
      <c r="N74" s="278"/>
      <c r="O74" s="278"/>
      <c r="P74" s="279"/>
    </row>
    <row r="75" spans="1:16" ht="47.1" customHeight="1">
      <c r="A75" s="9">
        <v>66</v>
      </c>
      <c r="B75" s="200" t="s">
        <v>42</v>
      </c>
      <c r="C75" s="327" t="s">
        <v>615</v>
      </c>
      <c r="D75" s="184" t="s">
        <v>154</v>
      </c>
      <c r="E75" s="182">
        <v>16</v>
      </c>
      <c r="F75" s="201">
        <v>3</v>
      </c>
      <c r="G75" s="182" t="s">
        <v>70</v>
      </c>
      <c r="H75" s="200"/>
      <c r="I75" s="200"/>
      <c r="J75" s="182"/>
      <c r="K75" s="202"/>
      <c r="L75" s="182"/>
      <c r="M75" s="330" t="s">
        <v>616</v>
      </c>
      <c r="N75" s="278"/>
      <c r="O75" s="278"/>
      <c r="P75" s="279"/>
    </row>
    <row r="76" spans="1:16" ht="47.1" customHeight="1">
      <c r="A76" s="9">
        <v>67</v>
      </c>
      <c r="B76" s="200" t="s">
        <v>42</v>
      </c>
      <c r="C76" s="327" t="s">
        <v>615</v>
      </c>
      <c r="D76" s="184" t="s">
        <v>154</v>
      </c>
      <c r="E76" s="182">
        <v>17</v>
      </c>
      <c r="F76" s="201">
        <v>3</v>
      </c>
      <c r="G76" s="182" t="s">
        <v>70</v>
      </c>
      <c r="H76" s="200"/>
      <c r="I76" s="200"/>
      <c r="J76" s="182"/>
      <c r="K76" s="202"/>
      <c r="L76" s="182"/>
      <c r="M76" s="330" t="s">
        <v>616</v>
      </c>
      <c r="N76" s="278"/>
      <c r="O76" s="278"/>
      <c r="P76" s="279"/>
    </row>
    <row r="77" spans="1:16" ht="47.1" customHeight="1">
      <c r="A77" s="9">
        <v>68</v>
      </c>
      <c r="B77" s="200" t="s">
        <v>42</v>
      </c>
      <c r="C77" s="327" t="s">
        <v>615</v>
      </c>
      <c r="D77" s="203" t="s">
        <v>154</v>
      </c>
      <c r="E77" s="182">
        <v>18</v>
      </c>
      <c r="F77" s="201">
        <v>4</v>
      </c>
      <c r="G77" s="182" t="s">
        <v>70</v>
      </c>
      <c r="H77" s="200"/>
      <c r="I77" s="200"/>
      <c r="J77" s="182"/>
      <c r="K77" s="202"/>
      <c r="L77" s="182"/>
      <c r="M77" s="330" t="s">
        <v>616</v>
      </c>
      <c r="N77" s="278"/>
      <c r="O77" s="278"/>
      <c r="P77" s="279"/>
    </row>
    <row r="78" spans="1:16" ht="47.1" customHeight="1">
      <c r="A78" s="9">
        <v>69</v>
      </c>
      <c r="B78" s="200" t="s">
        <v>42</v>
      </c>
      <c r="C78" s="327" t="s">
        <v>615</v>
      </c>
      <c r="D78" s="203" t="s">
        <v>154</v>
      </c>
      <c r="E78" s="182">
        <v>19</v>
      </c>
      <c r="F78" s="201">
        <v>4</v>
      </c>
      <c r="G78" s="182" t="s">
        <v>70</v>
      </c>
      <c r="H78" s="200"/>
      <c r="I78" s="200"/>
      <c r="J78" s="182"/>
      <c r="K78" s="202"/>
      <c r="L78" s="182"/>
      <c r="M78" s="330" t="s">
        <v>616</v>
      </c>
      <c r="N78" s="278"/>
      <c r="O78" s="278"/>
      <c r="P78" s="279"/>
    </row>
    <row r="79" spans="1:16" ht="47.1" customHeight="1">
      <c r="A79" s="9">
        <v>70</v>
      </c>
      <c r="B79" s="200"/>
      <c r="C79" s="329" t="s">
        <v>871</v>
      </c>
      <c r="D79" s="203" t="s">
        <v>209</v>
      </c>
      <c r="E79" s="182">
        <v>20</v>
      </c>
      <c r="F79" s="201">
        <v>2</v>
      </c>
      <c r="G79" s="182" t="s">
        <v>70</v>
      </c>
      <c r="H79" s="200"/>
      <c r="I79" s="200"/>
      <c r="J79" s="182"/>
      <c r="K79" s="202"/>
      <c r="L79" s="182"/>
      <c r="M79" s="330"/>
      <c r="N79" s="278"/>
      <c r="O79" s="278"/>
      <c r="P79" s="279"/>
    </row>
    <row r="80" spans="1:16" ht="47.1" customHeight="1">
      <c r="A80" s="9">
        <v>71</v>
      </c>
      <c r="B80" s="200"/>
      <c r="C80" s="329" t="s">
        <v>872</v>
      </c>
      <c r="D80" s="203" t="s">
        <v>209</v>
      </c>
      <c r="E80" s="182">
        <v>21</v>
      </c>
      <c r="F80" s="201">
        <v>2</v>
      </c>
      <c r="G80" s="182" t="s">
        <v>70</v>
      </c>
      <c r="H80" s="200"/>
      <c r="I80" s="200"/>
      <c r="J80" s="182"/>
      <c r="K80" s="202"/>
      <c r="L80" s="182"/>
      <c r="M80" s="330"/>
      <c r="N80" s="278"/>
      <c r="O80" s="278"/>
      <c r="P80" s="279"/>
    </row>
    <row r="81" spans="1:16" ht="47.1" customHeight="1">
      <c r="A81" s="9">
        <v>72</v>
      </c>
      <c r="B81" s="200"/>
      <c r="C81" s="329" t="s">
        <v>873</v>
      </c>
      <c r="D81" s="184" t="s">
        <v>210</v>
      </c>
      <c r="E81" s="182"/>
      <c r="F81" s="201">
        <v>4</v>
      </c>
      <c r="G81" s="182" t="s">
        <v>70</v>
      </c>
      <c r="H81" s="200"/>
      <c r="I81" s="200"/>
      <c r="J81" s="182"/>
      <c r="K81" s="202"/>
      <c r="L81" s="182"/>
      <c r="M81" s="380" t="s">
        <v>1081</v>
      </c>
      <c r="N81" s="278"/>
      <c r="O81" s="278"/>
      <c r="P81" s="279"/>
    </row>
    <row r="82" spans="1:16" ht="47.1" customHeight="1">
      <c r="A82" s="9">
        <v>73</v>
      </c>
      <c r="B82" s="200"/>
      <c r="C82" s="329" t="s">
        <v>874</v>
      </c>
      <c r="D82" s="184" t="s">
        <v>211</v>
      </c>
      <c r="E82" s="182"/>
      <c r="F82" s="201">
        <v>1</v>
      </c>
      <c r="G82" s="182" t="s">
        <v>70</v>
      </c>
      <c r="H82" s="200"/>
      <c r="I82" s="200"/>
      <c r="J82" s="182"/>
      <c r="K82" s="202"/>
      <c r="L82" s="182"/>
      <c r="M82" s="380" t="s">
        <v>1081</v>
      </c>
      <c r="N82" s="278"/>
      <c r="O82" s="278"/>
      <c r="P82" s="279"/>
    </row>
    <row r="83" spans="1:16" ht="47.1" customHeight="1">
      <c r="A83" s="9">
        <v>74</v>
      </c>
      <c r="B83" s="200"/>
      <c r="C83" s="205"/>
      <c r="D83" s="184"/>
      <c r="E83" s="182"/>
      <c r="F83" s="201"/>
      <c r="G83" s="182"/>
      <c r="H83" s="200"/>
      <c r="I83" s="200"/>
      <c r="J83" s="182"/>
      <c r="K83" s="202"/>
      <c r="L83" s="182"/>
      <c r="M83" s="330"/>
      <c r="N83" s="278"/>
      <c r="O83" s="278"/>
      <c r="P83" s="279"/>
    </row>
    <row r="84" spans="1:16" ht="47.1" customHeight="1">
      <c r="A84" s="9">
        <v>75</v>
      </c>
      <c r="B84" s="200"/>
      <c r="C84" s="205"/>
      <c r="D84" s="184"/>
      <c r="E84" s="182"/>
      <c r="F84" s="201"/>
      <c r="G84" s="182"/>
      <c r="H84" s="200"/>
      <c r="I84" s="200"/>
      <c r="J84" s="182"/>
      <c r="K84" s="202"/>
      <c r="L84" s="182"/>
      <c r="M84" s="330"/>
      <c r="N84" s="278"/>
      <c r="O84" s="278"/>
      <c r="P84" s="279"/>
    </row>
    <row r="85" spans="1:16" ht="47.1" customHeight="1">
      <c r="A85" s="9">
        <v>76</v>
      </c>
      <c r="B85" s="200"/>
      <c r="C85" s="205"/>
      <c r="D85" s="184"/>
      <c r="E85" s="182"/>
      <c r="F85" s="201"/>
      <c r="G85" s="182"/>
      <c r="H85" s="200"/>
      <c r="I85" s="200"/>
      <c r="J85" s="182"/>
      <c r="K85" s="202"/>
      <c r="L85" s="182"/>
      <c r="M85" s="330"/>
      <c r="N85" s="278"/>
      <c r="O85" s="278"/>
      <c r="P85" s="279"/>
    </row>
    <row r="86" spans="1:16" ht="47.1" customHeight="1">
      <c r="A86" s="9">
        <v>77</v>
      </c>
      <c r="B86" s="200"/>
      <c r="C86" s="205"/>
      <c r="D86" s="184"/>
      <c r="E86" s="182"/>
      <c r="F86" s="201"/>
      <c r="G86" s="182"/>
      <c r="H86" s="200"/>
      <c r="I86" s="200"/>
      <c r="J86" s="182"/>
      <c r="K86" s="202"/>
      <c r="L86" s="182"/>
      <c r="M86" s="330"/>
      <c r="N86" s="278"/>
      <c r="O86" s="278"/>
      <c r="P86" s="279"/>
    </row>
    <row r="87" spans="1:16" ht="47.1" customHeight="1">
      <c r="A87" s="9">
        <v>78</v>
      </c>
      <c r="B87" s="200"/>
      <c r="C87" s="205"/>
      <c r="D87" s="184"/>
      <c r="E87" s="182"/>
      <c r="F87" s="201"/>
      <c r="G87" s="182"/>
      <c r="H87" s="200"/>
      <c r="I87" s="200"/>
      <c r="J87" s="182"/>
      <c r="K87" s="202"/>
      <c r="L87" s="182"/>
      <c r="M87" s="330"/>
      <c r="N87" s="278"/>
      <c r="O87" s="278"/>
      <c r="P87" s="279"/>
    </row>
    <row r="88" spans="1:16" ht="47.1" customHeight="1">
      <c r="A88" s="9">
        <v>79</v>
      </c>
      <c r="B88" s="200" t="s">
        <v>43</v>
      </c>
      <c r="C88" s="329" t="s">
        <v>875</v>
      </c>
      <c r="D88" s="184" t="s">
        <v>167</v>
      </c>
      <c r="E88" s="182">
        <v>22</v>
      </c>
      <c r="F88" s="201">
        <v>2</v>
      </c>
      <c r="G88" s="182" t="s">
        <v>70</v>
      </c>
      <c r="H88" s="200"/>
      <c r="I88" s="200"/>
      <c r="J88" s="182" t="s">
        <v>599</v>
      </c>
      <c r="K88" s="202" t="s">
        <v>618</v>
      </c>
      <c r="L88" s="182" t="s">
        <v>617</v>
      </c>
      <c r="M88" s="330" t="s">
        <v>62</v>
      </c>
      <c r="N88" s="278"/>
      <c r="O88" s="278"/>
      <c r="P88" s="279"/>
    </row>
    <row r="89" spans="1:16" ht="47.1" customHeight="1">
      <c r="A89" s="9">
        <v>80</v>
      </c>
      <c r="B89" s="200" t="s">
        <v>43</v>
      </c>
      <c r="C89" s="329" t="s">
        <v>876</v>
      </c>
      <c r="D89" s="203" t="s">
        <v>168</v>
      </c>
      <c r="E89" s="204">
        <v>22</v>
      </c>
      <c r="F89" s="201">
        <v>4</v>
      </c>
      <c r="G89" s="182" t="s">
        <v>70</v>
      </c>
      <c r="H89" s="200"/>
      <c r="I89" s="200"/>
      <c r="J89" s="182" t="s">
        <v>599</v>
      </c>
      <c r="K89" s="202" t="s">
        <v>618</v>
      </c>
      <c r="L89" s="202">
        <v>2</v>
      </c>
      <c r="M89" s="330" t="s">
        <v>62</v>
      </c>
      <c r="N89" s="278"/>
      <c r="O89" s="278"/>
      <c r="P89" s="279"/>
    </row>
    <row r="90" spans="1:16" ht="47.1" customHeight="1">
      <c r="A90" s="9">
        <v>81</v>
      </c>
      <c r="B90" s="200" t="s">
        <v>43</v>
      </c>
      <c r="C90" s="329" t="s">
        <v>877</v>
      </c>
      <c r="D90" s="184" t="s">
        <v>168</v>
      </c>
      <c r="E90" s="204">
        <v>22</v>
      </c>
      <c r="F90" s="201">
        <v>2</v>
      </c>
      <c r="G90" s="182" t="s">
        <v>70</v>
      </c>
      <c r="H90" s="200"/>
      <c r="I90" s="200"/>
      <c r="J90" s="182" t="s">
        <v>599</v>
      </c>
      <c r="K90" s="202" t="s">
        <v>618</v>
      </c>
      <c r="L90" s="202">
        <v>3</v>
      </c>
      <c r="M90" s="330" t="s">
        <v>414</v>
      </c>
      <c r="N90" s="278"/>
      <c r="O90" s="278"/>
      <c r="P90" s="279"/>
    </row>
    <row r="91" spans="1:16" ht="47.1" customHeight="1">
      <c r="A91" s="9">
        <v>82</v>
      </c>
      <c r="B91" s="200"/>
      <c r="C91" s="329" t="s">
        <v>878</v>
      </c>
      <c r="D91" s="184" t="s">
        <v>353</v>
      </c>
      <c r="E91" s="204">
        <v>22</v>
      </c>
      <c r="F91" s="201">
        <v>28</v>
      </c>
      <c r="G91" s="182" t="s">
        <v>70</v>
      </c>
      <c r="H91" s="200"/>
      <c r="I91" s="200"/>
      <c r="J91" s="182"/>
      <c r="K91" s="202"/>
      <c r="L91" s="202"/>
      <c r="M91" s="330"/>
      <c r="N91" s="278"/>
      <c r="O91" s="278"/>
      <c r="P91" s="279"/>
    </row>
    <row r="92" spans="1:16" ht="47.1" customHeight="1">
      <c r="A92" s="9">
        <v>83</v>
      </c>
      <c r="B92" s="200" t="s">
        <v>45</v>
      </c>
      <c r="C92" s="329" t="s">
        <v>879</v>
      </c>
      <c r="D92" s="203" t="s">
        <v>273</v>
      </c>
      <c r="E92" s="204">
        <v>22</v>
      </c>
      <c r="F92" s="201">
        <v>4</v>
      </c>
      <c r="G92" s="182" t="s">
        <v>70</v>
      </c>
      <c r="H92" s="200"/>
      <c r="I92" s="200"/>
      <c r="J92" s="182"/>
      <c r="K92" s="202" t="s">
        <v>619</v>
      </c>
      <c r="L92" s="202">
        <v>12</v>
      </c>
      <c r="M92" s="330" t="s">
        <v>620</v>
      </c>
      <c r="N92" s="278"/>
      <c r="O92" s="278"/>
      <c r="P92" s="279"/>
    </row>
    <row r="93" spans="1:16" ht="47.1" customHeight="1">
      <c r="A93" s="9">
        <v>84</v>
      </c>
      <c r="B93" s="200"/>
      <c r="C93" s="205"/>
      <c r="D93" s="203"/>
      <c r="E93" s="204"/>
      <c r="F93" s="201"/>
      <c r="G93" s="182"/>
      <c r="H93" s="200"/>
      <c r="I93" s="200"/>
      <c r="J93" s="182"/>
      <c r="K93" s="202"/>
      <c r="L93" s="202"/>
      <c r="M93" s="330"/>
      <c r="N93" s="278"/>
      <c r="O93" s="278"/>
      <c r="P93" s="279"/>
    </row>
    <row r="94" spans="1:16" ht="47.1" customHeight="1">
      <c r="A94" s="9">
        <v>85</v>
      </c>
      <c r="B94" s="200"/>
      <c r="C94" s="205"/>
      <c r="D94" s="203"/>
      <c r="E94" s="204"/>
      <c r="F94" s="201"/>
      <c r="G94" s="182"/>
      <c r="H94" s="200"/>
      <c r="I94" s="200"/>
      <c r="J94" s="182"/>
      <c r="K94" s="202"/>
      <c r="L94" s="202"/>
      <c r="M94" s="330"/>
      <c r="N94" s="278"/>
      <c r="O94" s="278"/>
      <c r="P94" s="279"/>
    </row>
    <row r="95" spans="1:16" ht="47.1" customHeight="1">
      <c r="A95" s="9">
        <v>86</v>
      </c>
      <c r="B95" s="200"/>
      <c r="C95" s="205"/>
      <c r="D95" s="203"/>
      <c r="E95" s="204"/>
      <c r="F95" s="201"/>
      <c r="G95" s="182"/>
      <c r="H95" s="200"/>
      <c r="I95" s="200"/>
      <c r="J95" s="182"/>
      <c r="K95" s="202"/>
      <c r="L95" s="202"/>
      <c r="M95" s="330"/>
      <c r="N95" s="278"/>
      <c r="O95" s="278"/>
      <c r="P95" s="279"/>
    </row>
    <row r="96" spans="1:16" ht="47.1" customHeight="1">
      <c r="A96" s="9">
        <v>87</v>
      </c>
      <c r="B96" s="200"/>
      <c r="C96" s="205"/>
      <c r="D96" s="203"/>
      <c r="E96" s="204"/>
      <c r="F96" s="201"/>
      <c r="G96" s="182"/>
      <c r="H96" s="200"/>
      <c r="I96" s="200"/>
      <c r="J96" s="182"/>
      <c r="K96" s="202"/>
      <c r="L96" s="202"/>
      <c r="M96" s="330"/>
      <c r="N96" s="278"/>
      <c r="O96" s="278"/>
      <c r="P96" s="279"/>
    </row>
    <row r="97" spans="1:16" ht="47.1" customHeight="1">
      <c r="A97" s="9">
        <v>88</v>
      </c>
      <c r="B97" s="200"/>
      <c r="C97" s="205"/>
      <c r="D97" s="203"/>
      <c r="E97" s="204"/>
      <c r="F97" s="201"/>
      <c r="G97" s="182"/>
      <c r="H97" s="200"/>
      <c r="I97" s="200"/>
      <c r="J97" s="182"/>
      <c r="K97" s="202"/>
      <c r="L97" s="202"/>
      <c r="M97" s="330"/>
      <c r="N97" s="278"/>
      <c r="O97" s="278"/>
      <c r="P97" s="279"/>
    </row>
    <row r="98" spans="1:16" ht="47.1" customHeight="1">
      <c r="A98" s="9">
        <v>89</v>
      </c>
      <c r="B98" s="200" t="s">
        <v>27</v>
      </c>
      <c r="C98" s="329" t="s">
        <v>880</v>
      </c>
      <c r="D98" s="203" t="s">
        <v>158</v>
      </c>
      <c r="E98" s="204">
        <v>23</v>
      </c>
      <c r="F98" s="201">
        <v>1</v>
      </c>
      <c r="G98" s="182" t="s">
        <v>70</v>
      </c>
      <c r="H98" s="200"/>
      <c r="I98" s="200"/>
      <c r="J98" s="182"/>
      <c r="K98" s="202" t="s">
        <v>621</v>
      </c>
      <c r="L98" s="202">
        <v>4</v>
      </c>
      <c r="M98" s="330"/>
      <c r="N98" s="278"/>
      <c r="O98" s="278"/>
      <c r="P98" s="279"/>
    </row>
    <row r="99" spans="1:16" ht="47.1" customHeight="1">
      <c r="A99" s="9">
        <v>90</v>
      </c>
      <c r="B99" s="200" t="s">
        <v>622</v>
      </c>
      <c r="C99" s="329" t="s">
        <v>881</v>
      </c>
      <c r="D99" s="203" t="s">
        <v>213</v>
      </c>
      <c r="E99" s="204">
        <v>23</v>
      </c>
      <c r="F99" s="201">
        <v>2</v>
      </c>
      <c r="G99" s="182" t="s">
        <v>70</v>
      </c>
      <c r="H99" s="200"/>
      <c r="I99" s="200"/>
      <c r="J99" s="182"/>
      <c r="K99" s="202"/>
      <c r="L99" s="202">
        <v>13</v>
      </c>
      <c r="M99" s="330" t="s">
        <v>397</v>
      </c>
      <c r="N99" s="278"/>
      <c r="O99" s="278"/>
      <c r="P99" s="279"/>
    </row>
    <row r="100" spans="1:16" ht="47.1" customHeight="1">
      <c r="A100" s="9">
        <v>91</v>
      </c>
      <c r="B100" s="200"/>
      <c r="C100" s="329" t="s">
        <v>882</v>
      </c>
      <c r="D100" s="203" t="s">
        <v>213</v>
      </c>
      <c r="E100" s="204">
        <v>23</v>
      </c>
      <c r="F100" s="201">
        <v>2</v>
      </c>
      <c r="G100" s="182" t="s">
        <v>70</v>
      </c>
      <c r="H100" s="200"/>
      <c r="I100" s="200"/>
      <c r="J100" s="182"/>
      <c r="K100" s="202" t="s">
        <v>638</v>
      </c>
      <c r="L100" s="202">
        <v>10</v>
      </c>
      <c r="M100" s="330" t="s">
        <v>248</v>
      </c>
      <c r="N100" s="278"/>
      <c r="O100" s="278"/>
      <c r="P100" s="279"/>
    </row>
    <row r="101" spans="1:16" ht="47.1" customHeight="1">
      <c r="A101" s="9">
        <v>92</v>
      </c>
      <c r="B101" s="200"/>
      <c r="C101" s="329" t="s">
        <v>883</v>
      </c>
      <c r="D101" s="203" t="s">
        <v>159</v>
      </c>
      <c r="E101" s="204">
        <v>23</v>
      </c>
      <c r="F101" s="201">
        <v>1</v>
      </c>
      <c r="G101" s="182" t="s">
        <v>70</v>
      </c>
      <c r="H101" s="200"/>
      <c r="I101" s="200"/>
      <c r="J101" s="182"/>
      <c r="K101" s="202"/>
      <c r="L101" s="202" t="s">
        <v>623</v>
      </c>
      <c r="M101" s="330"/>
      <c r="N101" s="278"/>
      <c r="O101" s="278"/>
      <c r="P101" s="279"/>
    </row>
    <row r="102" spans="1:16" ht="47.1" customHeight="1">
      <c r="A102" s="9">
        <v>93</v>
      </c>
      <c r="B102" s="200"/>
      <c r="C102" s="329" t="s">
        <v>884</v>
      </c>
      <c r="D102" s="203" t="s">
        <v>159</v>
      </c>
      <c r="E102" s="204">
        <v>23</v>
      </c>
      <c r="F102" s="201">
        <v>1</v>
      </c>
      <c r="G102" s="182" t="s">
        <v>70</v>
      </c>
      <c r="H102" s="200"/>
      <c r="I102" s="200"/>
      <c r="J102" s="182"/>
      <c r="K102" s="202"/>
      <c r="L102" s="202" t="s">
        <v>624</v>
      </c>
      <c r="M102" s="330"/>
      <c r="N102" s="278"/>
      <c r="O102" s="278"/>
      <c r="P102" s="279"/>
    </row>
    <row r="103" spans="1:16" ht="47.1" customHeight="1">
      <c r="A103" s="9">
        <v>94</v>
      </c>
      <c r="B103" s="200" t="s">
        <v>745</v>
      </c>
      <c r="C103" s="206" t="s">
        <v>746</v>
      </c>
      <c r="D103" s="184" t="s">
        <v>335</v>
      </c>
      <c r="E103" s="204">
        <v>23</v>
      </c>
      <c r="F103" s="201">
        <v>1</v>
      </c>
      <c r="G103" s="182" t="s">
        <v>70</v>
      </c>
      <c r="H103" s="200"/>
      <c r="I103" s="200"/>
      <c r="J103" s="182"/>
      <c r="K103" s="202"/>
      <c r="L103" s="182"/>
      <c r="M103" s="330" t="s">
        <v>747</v>
      </c>
      <c r="N103" s="278"/>
      <c r="O103" s="278"/>
      <c r="P103" s="279"/>
    </row>
    <row r="104" spans="1:16" ht="47.1" customHeight="1">
      <c r="A104" s="9">
        <v>95</v>
      </c>
      <c r="B104" s="200"/>
      <c r="C104" s="329" t="s">
        <v>885</v>
      </c>
      <c r="D104" s="184" t="s">
        <v>225</v>
      </c>
      <c r="E104" s="204">
        <v>23</v>
      </c>
      <c r="F104" s="201">
        <v>1</v>
      </c>
      <c r="G104" s="182" t="s">
        <v>70</v>
      </c>
      <c r="H104" s="200"/>
      <c r="I104" s="200"/>
      <c r="J104" s="182"/>
      <c r="K104" s="202"/>
      <c r="L104" s="202">
        <v>2</v>
      </c>
      <c r="M104" s="330" t="s">
        <v>625</v>
      </c>
      <c r="N104" s="278"/>
      <c r="O104" s="278"/>
      <c r="P104" s="279"/>
    </row>
    <row r="105" spans="1:16" ht="47.1" customHeight="1">
      <c r="A105" s="9">
        <v>96</v>
      </c>
      <c r="B105" s="200"/>
      <c r="C105" s="329" t="s">
        <v>886</v>
      </c>
      <c r="D105" s="184" t="s">
        <v>225</v>
      </c>
      <c r="E105" s="204">
        <v>23</v>
      </c>
      <c r="F105" s="201">
        <v>1</v>
      </c>
      <c r="G105" s="182" t="s">
        <v>70</v>
      </c>
      <c r="H105" s="200"/>
      <c r="I105" s="200"/>
      <c r="J105" s="182"/>
      <c r="K105" s="202"/>
      <c r="L105" s="202" t="s">
        <v>627</v>
      </c>
      <c r="M105" s="330" t="s">
        <v>626</v>
      </c>
      <c r="N105" s="278"/>
      <c r="O105" s="278"/>
      <c r="P105" s="279"/>
    </row>
    <row r="106" spans="1:16" ht="47.1" customHeight="1">
      <c r="A106" s="9">
        <v>97</v>
      </c>
      <c r="B106" s="200" t="s">
        <v>628</v>
      </c>
      <c r="C106" s="206" t="s">
        <v>600</v>
      </c>
      <c r="D106" s="184" t="s">
        <v>255</v>
      </c>
      <c r="E106" s="204">
        <v>23</v>
      </c>
      <c r="F106" s="201">
        <v>1</v>
      </c>
      <c r="G106" s="182" t="s">
        <v>70</v>
      </c>
      <c r="H106" s="200"/>
      <c r="I106" s="200"/>
      <c r="J106" s="182"/>
      <c r="K106" s="202"/>
      <c r="L106" s="182"/>
      <c r="M106" s="330" t="s">
        <v>629</v>
      </c>
      <c r="N106" s="278"/>
      <c r="O106" s="278"/>
      <c r="P106" s="279"/>
    </row>
    <row r="107" spans="1:16" ht="47.1" customHeight="1">
      <c r="A107" s="9">
        <v>98</v>
      </c>
      <c r="B107" s="200" t="s">
        <v>552</v>
      </c>
      <c r="C107" s="206" t="s">
        <v>630</v>
      </c>
      <c r="D107" s="184" t="s">
        <v>334</v>
      </c>
      <c r="E107" s="204">
        <v>23</v>
      </c>
      <c r="F107" s="201">
        <v>1</v>
      </c>
      <c r="G107" s="182" t="s">
        <v>70</v>
      </c>
      <c r="H107" s="200"/>
      <c r="I107" s="200"/>
      <c r="J107" s="182"/>
      <c r="K107" s="202"/>
      <c r="L107" s="182"/>
      <c r="M107" s="330" t="s">
        <v>553</v>
      </c>
      <c r="N107" s="278"/>
      <c r="O107" s="278"/>
      <c r="P107" s="279"/>
    </row>
    <row r="108" spans="1:16" ht="47.1" customHeight="1">
      <c r="A108" s="9">
        <v>99</v>
      </c>
      <c r="B108" s="200"/>
      <c r="C108" s="329" t="s">
        <v>887</v>
      </c>
      <c r="D108" s="184" t="s">
        <v>160</v>
      </c>
      <c r="E108" s="204">
        <v>23</v>
      </c>
      <c r="F108" s="201">
        <v>1</v>
      </c>
      <c r="G108" s="182" t="s">
        <v>70</v>
      </c>
      <c r="H108" s="200"/>
      <c r="I108" s="200"/>
      <c r="J108" s="182"/>
      <c r="K108" s="202"/>
      <c r="L108" s="182">
        <v>6</v>
      </c>
      <c r="M108" s="330" t="s">
        <v>625</v>
      </c>
      <c r="N108" s="278"/>
      <c r="O108" s="278"/>
      <c r="P108" s="279"/>
    </row>
    <row r="109" spans="1:16" ht="47.1" customHeight="1">
      <c r="A109" s="9">
        <v>100</v>
      </c>
      <c r="B109" s="200"/>
      <c r="C109" s="329" t="s">
        <v>888</v>
      </c>
      <c r="D109" s="184" t="s">
        <v>160</v>
      </c>
      <c r="E109" s="204">
        <v>23</v>
      </c>
      <c r="F109" s="201">
        <v>1</v>
      </c>
      <c r="G109" s="182" t="s">
        <v>70</v>
      </c>
      <c r="H109" s="200"/>
      <c r="I109" s="200"/>
      <c r="J109" s="182"/>
      <c r="K109" s="202"/>
      <c r="L109" s="182" t="s">
        <v>631</v>
      </c>
      <c r="M109" s="330" t="s">
        <v>626</v>
      </c>
      <c r="N109" s="278"/>
      <c r="O109" s="278"/>
      <c r="P109" s="279"/>
    </row>
    <row r="110" spans="1:16" ht="47.1" customHeight="1">
      <c r="A110" s="9">
        <v>101</v>
      </c>
      <c r="B110" s="200" t="s">
        <v>632</v>
      </c>
      <c r="C110" s="206" t="s">
        <v>630</v>
      </c>
      <c r="D110" s="184" t="s">
        <v>334</v>
      </c>
      <c r="E110" s="204">
        <v>23</v>
      </c>
      <c r="F110" s="201">
        <v>1</v>
      </c>
      <c r="G110" s="182" t="s">
        <v>70</v>
      </c>
      <c r="H110" s="200"/>
      <c r="I110" s="200"/>
      <c r="J110" s="182"/>
      <c r="K110" s="202"/>
      <c r="L110" s="182"/>
      <c r="M110" s="330" t="s">
        <v>633</v>
      </c>
      <c r="N110" s="278"/>
      <c r="O110" s="278"/>
      <c r="P110" s="279"/>
    </row>
    <row r="111" spans="1:16" ht="47.1" customHeight="1">
      <c r="A111" s="9">
        <v>102</v>
      </c>
      <c r="B111" s="200"/>
      <c r="C111" s="329" t="s">
        <v>889</v>
      </c>
      <c r="D111" s="184" t="s">
        <v>161</v>
      </c>
      <c r="E111" s="204">
        <v>23</v>
      </c>
      <c r="F111" s="201">
        <v>1</v>
      </c>
      <c r="G111" s="182" t="s">
        <v>70</v>
      </c>
      <c r="H111" s="200"/>
      <c r="I111" s="200"/>
      <c r="J111" s="182"/>
      <c r="K111" s="202"/>
      <c r="L111" s="182">
        <v>5</v>
      </c>
      <c r="M111" s="330" t="s">
        <v>625</v>
      </c>
      <c r="N111" s="278"/>
      <c r="O111" s="278"/>
      <c r="P111" s="279"/>
    </row>
    <row r="112" spans="1:16" ht="46.5" customHeight="1">
      <c r="A112" s="9">
        <v>103</v>
      </c>
      <c r="B112" s="200"/>
      <c r="C112" s="329" t="s">
        <v>890</v>
      </c>
      <c r="D112" s="184" t="s">
        <v>161</v>
      </c>
      <c r="E112" s="204">
        <v>23</v>
      </c>
      <c r="F112" s="201">
        <v>1</v>
      </c>
      <c r="G112" s="182" t="s">
        <v>70</v>
      </c>
      <c r="H112" s="200"/>
      <c r="I112" s="200"/>
      <c r="J112" s="182"/>
      <c r="K112" s="202"/>
      <c r="L112" s="182" t="s">
        <v>634</v>
      </c>
      <c r="M112" s="330" t="s">
        <v>626</v>
      </c>
      <c r="N112" s="278"/>
      <c r="O112" s="278"/>
      <c r="P112" s="279"/>
    </row>
    <row r="113" spans="1:16" ht="46.5" customHeight="1">
      <c r="A113" s="9">
        <v>104</v>
      </c>
      <c r="B113" s="200" t="s">
        <v>554</v>
      </c>
      <c r="C113" s="328" t="s">
        <v>630</v>
      </c>
      <c r="D113" s="184" t="s">
        <v>334</v>
      </c>
      <c r="E113" s="204">
        <v>23</v>
      </c>
      <c r="F113" s="201">
        <v>1</v>
      </c>
      <c r="G113" s="182" t="s">
        <v>70</v>
      </c>
      <c r="H113" s="200"/>
      <c r="I113" s="200"/>
      <c r="J113" s="182"/>
      <c r="K113" s="202"/>
      <c r="L113" s="182"/>
      <c r="M113" s="330" t="s">
        <v>635</v>
      </c>
      <c r="N113" s="278"/>
      <c r="O113" s="278"/>
      <c r="P113" s="279"/>
    </row>
    <row r="114" spans="1:16" ht="46.5" customHeight="1">
      <c r="A114" s="9">
        <v>105</v>
      </c>
      <c r="B114" s="200"/>
      <c r="C114" s="329" t="s">
        <v>891</v>
      </c>
      <c r="D114" s="184" t="s">
        <v>162</v>
      </c>
      <c r="E114" s="204">
        <v>23</v>
      </c>
      <c r="F114" s="201">
        <v>1</v>
      </c>
      <c r="G114" s="182" t="s">
        <v>70</v>
      </c>
      <c r="H114" s="200"/>
      <c r="I114" s="200"/>
      <c r="J114" s="182"/>
      <c r="K114" s="202"/>
      <c r="L114" s="182">
        <v>12</v>
      </c>
      <c r="M114" s="330" t="s">
        <v>625</v>
      </c>
      <c r="N114" s="278"/>
      <c r="O114" s="278"/>
      <c r="P114" s="279"/>
    </row>
    <row r="115" spans="1:16" ht="46.5" customHeight="1">
      <c r="A115" s="9">
        <v>106</v>
      </c>
      <c r="B115" s="200"/>
      <c r="C115" s="329" t="s">
        <v>892</v>
      </c>
      <c r="D115" s="184" t="s">
        <v>162</v>
      </c>
      <c r="E115" s="204">
        <v>23</v>
      </c>
      <c r="F115" s="201">
        <v>1</v>
      </c>
      <c r="G115" s="182" t="s">
        <v>70</v>
      </c>
      <c r="H115" s="200"/>
      <c r="I115" s="200"/>
      <c r="J115" s="182"/>
      <c r="K115" s="202"/>
      <c r="L115" s="182" t="s">
        <v>636</v>
      </c>
      <c r="M115" s="330" t="s">
        <v>626</v>
      </c>
      <c r="N115" s="278"/>
      <c r="O115" s="278"/>
      <c r="P115" s="279"/>
    </row>
    <row r="116" spans="1:16" ht="46.5" customHeight="1">
      <c r="A116" s="9">
        <v>107</v>
      </c>
      <c r="B116" s="200" t="s">
        <v>555</v>
      </c>
      <c r="C116" s="206" t="s">
        <v>630</v>
      </c>
      <c r="D116" s="184" t="s">
        <v>334</v>
      </c>
      <c r="E116" s="182">
        <v>23</v>
      </c>
      <c r="F116" s="201">
        <v>1</v>
      </c>
      <c r="G116" s="182" t="s">
        <v>70</v>
      </c>
      <c r="H116" s="200"/>
      <c r="I116" s="200"/>
      <c r="J116" s="182"/>
      <c r="K116" s="202"/>
      <c r="L116" s="182"/>
      <c r="M116" s="330"/>
      <c r="N116" s="278"/>
      <c r="O116" s="278"/>
      <c r="P116" s="279"/>
    </row>
    <row r="117" spans="1:16" ht="46.5" customHeight="1">
      <c r="A117" s="9">
        <v>108</v>
      </c>
      <c r="B117" s="208"/>
      <c r="C117" s="329" t="s">
        <v>893</v>
      </c>
      <c r="D117" s="209" t="s">
        <v>163</v>
      </c>
      <c r="E117" s="182">
        <v>23</v>
      </c>
      <c r="F117" s="201">
        <v>1</v>
      </c>
      <c r="G117" s="210" t="s">
        <v>70</v>
      </c>
      <c r="H117" s="208"/>
      <c r="I117" s="208"/>
      <c r="J117" s="210"/>
      <c r="K117" s="211"/>
      <c r="L117" s="210">
        <v>3</v>
      </c>
      <c r="M117" s="330" t="s">
        <v>625</v>
      </c>
      <c r="N117" s="278"/>
      <c r="O117" s="278"/>
      <c r="P117" s="279"/>
    </row>
    <row r="118" spans="1:16" ht="46.5" customHeight="1">
      <c r="A118" s="9">
        <v>109</v>
      </c>
      <c r="B118" s="208"/>
      <c r="C118" s="329" t="s">
        <v>894</v>
      </c>
      <c r="D118" s="209" t="s">
        <v>163</v>
      </c>
      <c r="E118" s="182">
        <v>23</v>
      </c>
      <c r="F118" s="201">
        <v>1</v>
      </c>
      <c r="G118" s="210" t="s">
        <v>70</v>
      </c>
      <c r="H118" s="208"/>
      <c r="I118" s="208"/>
      <c r="J118" s="210"/>
      <c r="K118" s="211"/>
      <c r="L118" s="210" t="s">
        <v>637</v>
      </c>
      <c r="M118" s="330" t="s">
        <v>626</v>
      </c>
      <c r="N118" s="278"/>
      <c r="O118" s="278"/>
      <c r="P118" s="279"/>
    </row>
    <row r="119" spans="1:16" ht="46.5" customHeight="1">
      <c r="A119" s="9">
        <v>110</v>
      </c>
      <c r="B119" s="208" t="s">
        <v>551</v>
      </c>
      <c r="C119" s="206" t="s">
        <v>600</v>
      </c>
      <c r="D119" s="209" t="s">
        <v>255</v>
      </c>
      <c r="E119" s="210">
        <v>23</v>
      </c>
      <c r="F119" s="201">
        <v>1</v>
      </c>
      <c r="G119" s="210" t="s">
        <v>70</v>
      </c>
      <c r="H119" s="208"/>
      <c r="I119" s="208"/>
      <c r="J119" s="210"/>
      <c r="K119" s="211"/>
      <c r="L119" s="210"/>
      <c r="M119" s="330"/>
      <c r="N119" s="278"/>
      <c r="O119" s="278"/>
      <c r="P119" s="279"/>
    </row>
    <row r="120" spans="1:16" ht="46.5" customHeight="1">
      <c r="A120" s="9">
        <v>111</v>
      </c>
      <c r="B120" s="200"/>
      <c r="C120" s="329" t="s">
        <v>895</v>
      </c>
      <c r="D120" s="184" t="s">
        <v>169</v>
      </c>
      <c r="E120" s="182">
        <v>23</v>
      </c>
      <c r="F120" s="201">
        <v>4</v>
      </c>
      <c r="G120" s="182" t="s">
        <v>70</v>
      </c>
      <c r="H120" s="200"/>
      <c r="I120" s="200"/>
      <c r="J120" s="182"/>
      <c r="K120" s="202"/>
      <c r="L120" s="182">
        <v>9</v>
      </c>
      <c r="M120" s="330"/>
      <c r="N120" s="278"/>
      <c r="O120" s="278"/>
      <c r="P120" s="279"/>
    </row>
    <row r="121" spans="1:16" ht="46.5" customHeight="1">
      <c r="A121" s="9">
        <v>112</v>
      </c>
      <c r="B121" s="200"/>
      <c r="C121" s="329" t="s">
        <v>896</v>
      </c>
      <c r="D121" s="184" t="s">
        <v>398</v>
      </c>
      <c r="E121" s="182">
        <v>23</v>
      </c>
      <c r="F121" s="201">
        <v>3</v>
      </c>
      <c r="G121" s="182" t="s">
        <v>70</v>
      </c>
      <c r="H121" s="200"/>
      <c r="I121" s="200"/>
      <c r="J121" s="182"/>
      <c r="K121" s="202"/>
      <c r="L121" s="182">
        <v>8</v>
      </c>
      <c r="M121" s="331"/>
      <c r="N121" s="280"/>
      <c r="O121" s="280"/>
      <c r="P121" s="281"/>
    </row>
    <row r="122" spans="1:16" ht="46.5" customHeight="1">
      <c r="A122" s="9">
        <v>113</v>
      </c>
      <c r="B122" s="200"/>
      <c r="C122" s="329" t="s">
        <v>897</v>
      </c>
      <c r="D122" s="184" t="s">
        <v>164</v>
      </c>
      <c r="E122" s="182">
        <v>23</v>
      </c>
      <c r="F122" s="201">
        <v>1</v>
      </c>
      <c r="G122" s="182" t="s">
        <v>70</v>
      </c>
      <c r="H122" s="200"/>
      <c r="I122" s="200"/>
      <c r="J122" s="182"/>
      <c r="K122" s="202"/>
      <c r="L122" s="182">
        <v>7</v>
      </c>
      <c r="M122" s="331"/>
      <c r="N122" s="280"/>
      <c r="O122" s="280"/>
      <c r="P122" s="281"/>
    </row>
    <row r="123" spans="1:16" ht="46.5" customHeight="1">
      <c r="A123" s="9">
        <v>114</v>
      </c>
      <c r="B123" s="200"/>
      <c r="C123" s="329" t="s">
        <v>898</v>
      </c>
      <c r="D123" s="184" t="s">
        <v>171</v>
      </c>
      <c r="E123" s="182">
        <v>23</v>
      </c>
      <c r="F123" s="201">
        <v>2</v>
      </c>
      <c r="G123" s="182" t="s">
        <v>70</v>
      </c>
      <c r="H123" s="200"/>
      <c r="I123" s="200"/>
      <c r="J123" s="182"/>
      <c r="K123" s="202"/>
      <c r="L123" s="182" t="s">
        <v>639</v>
      </c>
      <c r="M123" s="331" t="s">
        <v>519</v>
      </c>
      <c r="N123" s="280"/>
      <c r="O123" s="280"/>
      <c r="P123" s="281"/>
    </row>
    <row r="124" spans="1:16" ht="46.5" customHeight="1">
      <c r="A124" s="9">
        <v>115</v>
      </c>
      <c r="B124" s="200"/>
      <c r="C124" s="329" t="s">
        <v>899</v>
      </c>
      <c r="D124" s="184" t="s">
        <v>518</v>
      </c>
      <c r="E124" s="182">
        <v>23</v>
      </c>
      <c r="F124" s="201">
        <v>1</v>
      </c>
      <c r="G124" s="182" t="s">
        <v>70</v>
      </c>
      <c r="H124" s="200"/>
      <c r="I124" s="200"/>
      <c r="J124" s="182"/>
      <c r="K124" s="191"/>
      <c r="L124" s="182" t="s">
        <v>640</v>
      </c>
      <c r="M124" s="330"/>
      <c r="N124" s="278"/>
      <c r="O124" s="278"/>
      <c r="P124" s="279"/>
    </row>
    <row r="125" spans="1:16" ht="46.5" customHeight="1">
      <c r="A125" s="9">
        <v>116</v>
      </c>
      <c r="B125" s="200"/>
      <c r="C125" s="329" t="s">
        <v>900</v>
      </c>
      <c r="D125" s="184" t="s">
        <v>258</v>
      </c>
      <c r="E125" s="182">
        <v>23</v>
      </c>
      <c r="F125" s="201">
        <v>2</v>
      </c>
      <c r="G125" s="182" t="s">
        <v>70</v>
      </c>
      <c r="H125" s="200"/>
      <c r="I125" s="200"/>
      <c r="J125" s="182"/>
      <c r="K125" s="191"/>
      <c r="L125" s="182">
        <v>4</v>
      </c>
      <c r="M125" s="330"/>
      <c r="N125" s="278"/>
      <c r="O125" s="278"/>
      <c r="P125" s="279"/>
    </row>
    <row r="126" spans="1:16" ht="46.5" customHeight="1">
      <c r="A126" s="9">
        <v>117</v>
      </c>
      <c r="B126" s="200"/>
      <c r="C126" s="329" t="s">
        <v>901</v>
      </c>
      <c r="D126" s="184" t="s">
        <v>258</v>
      </c>
      <c r="E126" s="182">
        <v>23</v>
      </c>
      <c r="F126" s="201">
        <v>2</v>
      </c>
      <c r="G126" s="182" t="s">
        <v>70</v>
      </c>
      <c r="H126" s="200"/>
      <c r="I126" s="200"/>
      <c r="J126" s="182"/>
      <c r="K126" s="202"/>
      <c r="L126" s="182">
        <v>5</v>
      </c>
      <c r="M126" s="331"/>
      <c r="N126" s="280"/>
      <c r="O126" s="280"/>
      <c r="P126" s="281"/>
    </row>
    <row r="127" spans="1:16" ht="46.5" customHeight="1">
      <c r="A127" s="9">
        <v>118</v>
      </c>
      <c r="B127" s="200"/>
      <c r="C127" s="329" t="s">
        <v>902</v>
      </c>
      <c r="D127" s="184" t="s">
        <v>557</v>
      </c>
      <c r="E127" s="182">
        <v>23</v>
      </c>
      <c r="F127" s="201">
        <v>2</v>
      </c>
      <c r="G127" s="182" t="s">
        <v>70</v>
      </c>
      <c r="H127" s="200"/>
      <c r="I127" s="200"/>
      <c r="J127" s="182"/>
      <c r="K127" s="202"/>
      <c r="L127" s="182">
        <v>6</v>
      </c>
      <c r="M127" s="330"/>
      <c r="N127" s="278"/>
      <c r="O127" s="278"/>
      <c r="P127" s="279"/>
    </row>
    <row r="128" spans="1:16" ht="46.5" customHeight="1">
      <c r="A128" s="9">
        <v>119</v>
      </c>
      <c r="B128" s="200"/>
      <c r="C128" s="329" t="s">
        <v>903</v>
      </c>
      <c r="D128" s="212" t="s">
        <v>556</v>
      </c>
      <c r="E128" s="182">
        <v>23</v>
      </c>
      <c r="F128" s="201">
        <v>2</v>
      </c>
      <c r="G128" s="182" t="s">
        <v>70</v>
      </c>
      <c r="H128" s="200"/>
      <c r="I128" s="200"/>
      <c r="J128" s="182"/>
      <c r="K128" s="202"/>
      <c r="L128" s="182">
        <v>1</v>
      </c>
      <c r="M128" s="330"/>
      <c r="N128" s="278"/>
      <c r="O128" s="278"/>
      <c r="P128" s="279"/>
    </row>
    <row r="129" spans="1:16" ht="46.5" customHeight="1">
      <c r="A129" s="9">
        <v>120</v>
      </c>
      <c r="B129" s="200"/>
      <c r="C129" s="329" t="s">
        <v>904</v>
      </c>
      <c r="D129" s="184" t="s">
        <v>556</v>
      </c>
      <c r="E129" s="182">
        <v>23</v>
      </c>
      <c r="F129" s="201">
        <v>2</v>
      </c>
      <c r="G129" s="182" t="s">
        <v>70</v>
      </c>
      <c r="H129" s="200"/>
      <c r="I129" s="200"/>
      <c r="J129" s="182"/>
      <c r="K129" s="202"/>
      <c r="L129" s="182">
        <v>2</v>
      </c>
      <c r="M129" s="330"/>
      <c r="N129" s="278"/>
      <c r="O129" s="278"/>
      <c r="P129" s="279"/>
    </row>
    <row r="130" spans="1:16" ht="46.5" customHeight="1">
      <c r="A130" s="334">
        <v>121</v>
      </c>
      <c r="B130" s="200"/>
      <c r="C130" s="329" t="s">
        <v>905</v>
      </c>
      <c r="D130" s="184" t="s">
        <v>557</v>
      </c>
      <c r="E130" s="182">
        <v>23</v>
      </c>
      <c r="F130" s="201">
        <v>2</v>
      </c>
      <c r="G130" s="182" t="s">
        <v>70</v>
      </c>
      <c r="H130" s="200"/>
      <c r="I130" s="200"/>
      <c r="J130" s="182"/>
      <c r="K130" s="191"/>
      <c r="L130" s="182">
        <v>3</v>
      </c>
      <c r="M130" s="330"/>
      <c r="N130" s="278"/>
      <c r="O130" s="278"/>
      <c r="P130" s="279"/>
    </row>
    <row r="131" spans="1:16" ht="46.5" customHeight="1">
      <c r="A131" s="9">
        <v>121</v>
      </c>
      <c r="B131" s="200"/>
      <c r="C131" s="329"/>
      <c r="D131" s="184"/>
      <c r="E131" s="182"/>
      <c r="F131" s="201"/>
      <c r="G131" s="182"/>
      <c r="H131" s="200"/>
      <c r="I131" s="200"/>
      <c r="J131" s="182"/>
      <c r="K131" s="191"/>
      <c r="L131" s="182"/>
      <c r="M131" s="330"/>
      <c r="N131" s="278"/>
      <c r="O131" s="278"/>
      <c r="P131" s="279"/>
    </row>
    <row r="132" spans="1:16" ht="46.5" customHeight="1">
      <c r="A132" s="9">
        <v>122</v>
      </c>
      <c r="B132" s="200"/>
      <c r="C132" s="329"/>
      <c r="D132" s="184"/>
      <c r="E132" s="182"/>
      <c r="F132" s="201"/>
      <c r="G132" s="182"/>
      <c r="H132" s="200"/>
      <c r="I132" s="200"/>
      <c r="J132" s="182"/>
      <c r="K132" s="191"/>
      <c r="L132" s="182"/>
      <c r="M132" s="330"/>
      <c r="N132" s="278"/>
      <c r="O132" s="278"/>
      <c r="P132" s="279"/>
    </row>
    <row r="133" spans="1:16" ht="46.5" customHeight="1">
      <c r="A133" s="9">
        <v>123</v>
      </c>
      <c r="B133" s="200"/>
      <c r="C133" s="329"/>
      <c r="D133" s="184"/>
      <c r="E133" s="182"/>
      <c r="F133" s="201"/>
      <c r="G133" s="182"/>
      <c r="H133" s="200"/>
      <c r="I133" s="200"/>
      <c r="J133" s="182"/>
      <c r="K133" s="191"/>
      <c r="L133" s="182"/>
      <c r="M133" s="330"/>
      <c r="N133" s="278"/>
      <c r="O133" s="278"/>
      <c r="P133" s="279"/>
    </row>
    <row r="134" spans="1:16" ht="46.5" customHeight="1">
      <c r="A134" s="9">
        <v>124</v>
      </c>
      <c r="B134" s="200"/>
      <c r="C134" s="329"/>
      <c r="D134" s="184"/>
      <c r="E134" s="182"/>
      <c r="F134" s="201"/>
      <c r="G134" s="182"/>
      <c r="H134" s="200"/>
      <c r="I134" s="200"/>
      <c r="J134" s="182"/>
      <c r="K134" s="191"/>
      <c r="L134" s="182"/>
      <c r="M134" s="330"/>
      <c r="N134" s="278"/>
      <c r="O134" s="278"/>
      <c r="P134" s="279"/>
    </row>
    <row r="135" spans="1:16" ht="46.5" customHeight="1">
      <c r="A135" s="9">
        <v>125</v>
      </c>
      <c r="B135" s="200"/>
      <c r="C135" s="329"/>
      <c r="D135" s="184"/>
      <c r="E135" s="182"/>
      <c r="F135" s="201"/>
      <c r="G135" s="182"/>
      <c r="H135" s="200"/>
      <c r="I135" s="200"/>
      <c r="J135" s="182"/>
      <c r="K135" s="191"/>
      <c r="L135" s="182"/>
      <c r="M135" s="330"/>
      <c r="N135" s="278"/>
      <c r="O135" s="278"/>
      <c r="P135" s="279"/>
    </row>
    <row r="136" spans="1:16" ht="46.5" customHeight="1">
      <c r="A136" s="9">
        <v>126</v>
      </c>
      <c r="B136" s="200"/>
      <c r="C136" s="329"/>
      <c r="D136" s="184"/>
      <c r="E136" s="182"/>
      <c r="F136" s="201"/>
      <c r="G136" s="182"/>
      <c r="H136" s="200"/>
      <c r="I136" s="200"/>
      <c r="J136" s="182"/>
      <c r="K136" s="191"/>
      <c r="L136" s="182"/>
      <c r="M136" s="330"/>
      <c r="N136" s="278"/>
      <c r="O136" s="278"/>
      <c r="P136" s="279"/>
    </row>
    <row r="137" spans="1:16" ht="46.5" customHeight="1">
      <c r="A137" s="9">
        <v>127</v>
      </c>
      <c r="B137" s="200"/>
      <c r="C137" s="329"/>
      <c r="D137" s="184"/>
      <c r="E137" s="182"/>
      <c r="F137" s="201"/>
      <c r="G137" s="182"/>
      <c r="H137" s="200"/>
      <c r="I137" s="200"/>
      <c r="J137" s="182"/>
      <c r="K137" s="191"/>
      <c r="L137" s="182"/>
      <c r="M137" s="330"/>
      <c r="N137" s="278"/>
      <c r="O137" s="278"/>
      <c r="P137" s="279"/>
    </row>
    <row r="138" spans="1:16" ht="46.5" customHeight="1">
      <c r="A138" s="9">
        <v>128</v>
      </c>
      <c r="B138" s="200"/>
      <c r="C138" s="206" t="s">
        <v>642</v>
      </c>
      <c r="D138" s="184" t="s">
        <v>241</v>
      </c>
      <c r="E138" s="182">
        <v>24</v>
      </c>
      <c r="F138" s="201">
        <v>2</v>
      </c>
      <c r="G138" s="182" t="s">
        <v>641</v>
      </c>
      <c r="H138" s="200"/>
      <c r="I138" s="200"/>
      <c r="J138" s="182"/>
      <c r="K138" s="202"/>
      <c r="L138" s="182"/>
      <c r="M138" s="330"/>
      <c r="N138" s="278"/>
      <c r="O138" s="278"/>
      <c r="P138" s="279"/>
    </row>
    <row r="139" spans="1:16" ht="46.5" customHeight="1">
      <c r="A139" s="9">
        <v>129</v>
      </c>
      <c r="B139" s="335" t="s">
        <v>49</v>
      </c>
      <c r="C139" s="336" t="s">
        <v>711</v>
      </c>
      <c r="D139" s="337" t="s">
        <v>464</v>
      </c>
      <c r="E139" s="338">
        <v>24</v>
      </c>
      <c r="F139" s="338">
        <v>1</v>
      </c>
      <c r="G139" s="338" t="s">
        <v>70</v>
      </c>
      <c r="H139" s="335"/>
      <c r="I139" s="335"/>
      <c r="J139" s="338"/>
      <c r="K139" s="339"/>
      <c r="L139" s="338"/>
      <c r="M139" s="550" t="s">
        <v>780</v>
      </c>
      <c r="N139" s="551"/>
      <c r="O139" s="551"/>
      <c r="P139" s="552"/>
    </row>
    <row r="140" spans="1:16" ht="46.5" customHeight="1">
      <c r="A140" s="9">
        <v>130</v>
      </c>
      <c r="B140" s="200" t="s">
        <v>49</v>
      </c>
      <c r="C140" s="206" t="s">
        <v>711</v>
      </c>
      <c r="D140" s="203" t="s">
        <v>464</v>
      </c>
      <c r="E140" s="182">
        <v>24</v>
      </c>
      <c r="F140" s="201">
        <v>1</v>
      </c>
      <c r="G140" s="182" t="s">
        <v>70</v>
      </c>
      <c r="H140" s="200"/>
      <c r="I140" s="200"/>
      <c r="J140" s="182"/>
      <c r="K140" s="202"/>
      <c r="L140" s="182"/>
      <c r="M140" s="330"/>
      <c r="N140" s="278"/>
      <c r="O140" s="278"/>
      <c r="P140" s="279"/>
    </row>
    <row r="141" spans="1:16" ht="46.5" customHeight="1">
      <c r="A141" s="9">
        <v>131</v>
      </c>
      <c r="B141" s="200"/>
      <c r="C141" s="329" t="s">
        <v>906</v>
      </c>
      <c r="D141" s="203" t="s">
        <v>520</v>
      </c>
      <c r="E141" s="182">
        <v>24</v>
      </c>
      <c r="F141" s="201">
        <v>1</v>
      </c>
      <c r="G141" s="182" t="s">
        <v>70</v>
      </c>
      <c r="H141" s="200"/>
      <c r="I141" s="200"/>
      <c r="J141" s="182"/>
      <c r="K141" s="202"/>
      <c r="L141" s="182" t="s">
        <v>715</v>
      </c>
      <c r="M141" s="330"/>
      <c r="N141" s="278"/>
      <c r="O141" s="278"/>
      <c r="P141" s="279"/>
    </row>
    <row r="142" spans="1:16" ht="46.5" customHeight="1">
      <c r="A142" s="9">
        <v>132</v>
      </c>
      <c r="B142" s="200" t="s">
        <v>50</v>
      </c>
      <c r="C142" s="206" t="s">
        <v>713</v>
      </c>
      <c r="D142" s="203" t="s">
        <v>714</v>
      </c>
      <c r="E142" s="182">
        <v>24</v>
      </c>
      <c r="F142" s="201">
        <v>1</v>
      </c>
      <c r="G142" s="182" t="s">
        <v>70</v>
      </c>
      <c r="H142" s="200"/>
      <c r="I142" s="200"/>
      <c r="J142" s="182"/>
      <c r="K142" s="202"/>
      <c r="L142" s="182"/>
      <c r="M142" s="331"/>
      <c r="N142" s="280"/>
      <c r="O142" s="280"/>
      <c r="P142" s="281"/>
    </row>
    <row r="143" spans="1:16" ht="46.5" customHeight="1">
      <c r="A143" s="9">
        <v>133</v>
      </c>
      <c r="B143" s="200"/>
      <c r="C143" s="329" t="s">
        <v>907</v>
      </c>
      <c r="D143" s="203" t="s">
        <v>520</v>
      </c>
      <c r="E143" s="182">
        <v>24</v>
      </c>
      <c r="F143" s="201">
        <v>1</v>
      </c>
      <c r="G143" s="182" t="s">
        <v>70</v>
      </c>
      <c r="H143" s="200"/>
      <c r="I143" s="200"/>
      <c r="J143" s="182"/>
      <c r="K143" s="202"/>
      <c r="L143" s="182" t="s">
        <v>716</v>
      </c>
      <c r="M143" s="331"/>
      <c r="N143" s="280"/>
      <c r="O143" s="280"/>
      <c r="P143" s="281"/>
    </row>
    <row r="144" spans="1:16" ht="46.5" customHeight="1">
      <c r="A144" s="9">
        <v>134</v>
      </c>
      <c r="B144" s="200" t="s">
        <v>48</v>
      </c>
      <c r="C144" s="206" t="s">
        <v>712</v>
      </c>
      <c r="D144" s="203" t="s">
        <v>174</v>
      </c>
      <c r="E144" s="182">
        <v>24</v>
      </c>
      <c r="F144" s="201">
        <v>1</v>
      </c>
      <c r="G144" s="182" t="s">
        <v>70</v>
      </c>
      <c r="H144" s="200"/>
      <c r="I144" s="200"/>
      <c r="J144" s="182"/>
      <c r="K144" s="202"/>
      <c r="L144" s="182"/>
      <c r="M144" s="330"/>
      <c r="N144" s="278"/>
      <c r="O144" s="278"/>
      <c r="P144" s="279"/>
    </row>
    <row r="145" spans="1:16" ht="46.5" customHeight="1">
      <c r="A145" s="9">
        <v>135</v>
      </c>
      <c r="B145" s="200"/>
      <c r="C145" s="329" t="s">
        <v>908</v>
      </c>
      <c r="D145" s="203" t="s">
        <v>520</v>
      </c>
      <c r="E145" s="182">
        <v>24</v>
      </c>
      <c r="F145" s="201">
        <v>1</v>
      </c>
      <c r="G145" s="182" t="s">
        <v>70</v>
      </c>
      <c r="H145" s="200"/>
      <c r="I145" s="200"/>
      <c r="J145" s="182"/>
      <c r="K145" s="202"/>
      <c r="L145" s="182" t="s">
        <v>717</v>
      </c>
      <c r="M145" s="330"/>
      <c r="N145" s="278"/>
      <c r="O145" s="278"/>
      <c r="P145" s="279"/>
    </row>
    <row r="146" spans="1:16" ht="46.5" customHeight="1">
      <c r="A146" s="9">
        <v>136</v>
      </c>
      <c r="B146" s="200"/>
      <c r="C146" s="206" t="s">
        <v>358</v>
      </c>
      <c r="D146" s="203" t="s">
        <v>189</v>
      </c>
      <c r="E146" s="182">
        <v>24</v>
      </c>
      <c r="F146" s="201">
        <v>15</v>
      </c>
      <c r="G146" s="182" t="s">
        <v>71</v>
      </c>
      <c r="H146" s="200"/>
      <c r="I146" s="200"/>
      <c r="J146" s="182"/>
      <c r="K146" s="202"/>
      <c r="L146" s="182"/>
      <c r="M146" s="330" t="s">
        <v>66</v>
      </c>
      <c r="N146" s="278"/>
      <c r="O146" s="278"/>
      <c r="P146" s="279"/>
    </row>
    <row r="147" spans="1:16" ht="46.5" customHeight="1">
      <c r="A147" s="9">
        <v>137</v>
      </c>
      <c r="B147" s="200"/>
      <c r="C147" s="206" t="s">
        <v>359</v>
      </c>
      <c r="D147" s="203" t="s">
        <v>501</v>
      </c>
      <c r="E147" s="182">
        <v>24</v>
      </c>
      <c r="F147" s="201">
        <v>100</v>
      </c>
      <c r="G147" s="182" t="s">
        <v>72</v>
      </c>
      <c r="H147" s="200"/>
      <c r="I147" s="200"/>
      <c r="J147" s="182"/>
      <c r="K147" s="202"/>
      <c r="L147" s="182"/>
      <c r="M147" s="330"/>
      <c r="N147" s="278"/>
      <c r="O147" s="278"/>
      <c r="P147" s="279"/>
    </row>
    <row r="148" spans="1:16" ht="46.5" customHeight="1">
      <c r="A148" s="9">
        <v>138</v>
      </c>
      <c r="B148" s="200"/>
      <c r="C148" s="206" t="s">
        <v>360</v>
      </c>
      <c r="D148" s="203" t="s">
        <v>502</v>
      </c>
      <c r="E148" s="182">
        <v>24</v>
      </c>
      <c r="F148" s="201">
        <v>100</v>
      </c>
      <c r="G148" s="182" t="s">
        <v>72</v>
      </c>
      <c r="H148" s="200"/>
      <c r="I148" s="200"/>
      <c r="J148" s="182"/>
      <c r="K148" s="202"/>
      <c r="L148" s="182"/>
      <c r="M148" s="330"/>
      <c r="N148" s="278"/>
      <c r="O148" s="278"/>
      <c r="P148" s="279"/>
    </row>
    <row r="149" spans="1:16" ht="46.5" customHeight="1">
      <c r="A149" s="9">
        <v>139</v>
      </c>
      <c r="B149" s="200"/>
      <c r="C149" s="206" t="s">
        <v>505</v>
      </c>
      <c r="D149" s="203" t="s">
        <v>190</v>
      </c>
      <c r="E149" s="182">
        <v>24</v>
      </c>
      <c r="F149" s="201">
        <v>3</v>
      </c>
      <c r="G149" s="182" t="s">
        <v>72</v>
      </c>
      <c r="H149" s="200"/>
      <c r="I149" s="200"/>
      <c r="J149" s="182"/>
      <c r="K149" s="202"/>
      <c r="L149" s="182"/>
      <c r="M149" s="330" t="s">
        <v>506</v>
      </c>
      <c r="N149" s="278"/>
      <c r="O149" s="278"/>
      <c r="P149" s="279"/>
    </row>
    <row r="150" spans="1:16" ht="46.5" customHeight="1">
      <c r="A150" s="9">
        <v>140</v>
      </c>
      <c r="B150" s="200"/>
      <c r="C150" s="206" t="s">
        <v>361</v>
      </c>
      <c r="D150" s="203" t="s">
        <v>192</v>
      </c>
      <c r="E150" s="182">
        <v>24</v>
      </c>
      <c r="F150" s="201">
        <v>3</v>
      </c>
      <c r="G150" s="182" t="s">
        <v>72</v>
      </c>
      <c r="H150" s="200"/>
      <c r="I150" s="200"/>
      <c r="J150" s="182"/>
      <c r="K150" s="202"/>
      <c r="L150" s="182"/>
      <c r="M150" s="330"/>
      <c r="N150" s="278"/>
      <c r="O150" s="278"/>
      <c r="P150" s="279"/>
    </row>
    <row r="151" spans="1:16" ht="46.5" customHeight="1">
      <c r="A151" s="9">
        <v>141</v>
      </c>
      <c r="B151" s="200" t="s">
        <v>419</v>
      </c>
      <c r="C151" s="206" t="s">
        <v>718</v>
      </c>
      <c r="D151" s="203" t="s">
        <v>229</v>
      </c>
      <c r="E151" s="182">
        <v>24</v>
      </c>
      <c r="F151" s="201">
        <v>1</v>
      </c>
      <c r="G151" s="182" t="s">
        <v>70</v>
      </c>
      <c r="H151" s="200"/>
      <c r="I151" s="200"/>
      <c r="J151" s="182"/>
      <c r="K151" s="202"/>
      <c r="L151" s="182"/>
      <c r="M151" s="330"/>
      <c r="N151" s="278"/>
      <c r="O151" s="278"/>
      <c r="P151" s="279"/>
    </row>
    <row r="152" spans="1:16" ht="46.5" customHeight="1">
      <c r="A152" s="9">
        <v>142</v>
      </c>
      <c r="B152" s="200"/>
      <c r="C152" s="206" t="s">
        <v>719</v>
      </c>
      <c r="D152" s="203" t="s">
        <v>720</v>
      </c>
      <c r="E152" s="204">
        <v>24</v>
      </c>
      <c r="F152" s="213">
        <v>2</v>
      </c>
      <c r="G152" s="204" t="s">
        <v>646</v>
      </c>
      <c r="H152" s="206"/>
      <c r="I152" s="206"/>
      <c r="J152" s="204"/>
      <c r="K152" s="207"/>
      <c r="L152" s="204"/>
      <c r="M152" s="332"/>
      <c r="N152" s="282"/>
      <c r="O152" s="282"/>
      <c r="P152" s="283"/>
    </row>
    <row r="153" spans="1:16" ht="46.5" customHeight="1">
      <c r="A153" s="9">
        <v>143</v>
      </c>
      <c r="B153" s="200"/>
      <c r="C153" s="206" t="s">
        <v>721</v>
      </c>
      <c r="D153" s="203" t="s">
        <v>722</v>
      </c>
      <c r="E153" s="204">
        <v>24</v>
      </c>
      <c r="F153" s="213">
        <v>4</v>
      </c>
      <c r="G153" s="204" t="s">
        <v>646</v>
      </c>
      <c r="H153" s="206"/>
      <c r="I153" s="206"/>
      <c r="J153" s="204"/>
      <c r="K153" s="207"/>
      <c r="L153" s="204"/>
      <c r="M153" s="332"/>
      <c r="N153" s="282"/>
      <c r="O153" s="282"/>
      <c r="P153" s="283"/>
    </row>
    <row r="154" spans="1:16" ht="46.5" customHeight="1">
      <c r="A154" s="9">
        <v>144</v>
      </c>
      <c r="B154" s="200"/>
      <c r="C154" s="206" t="s">
        <v>723</v>
      </c>
      <c r="D154" s="203" t="s">
        <v>724</v>
      </c>
      <c r="E154" s="204">
        <v>24</v>
      </c>
      <c r="F154" s="213">
        <v>2</v>
      </c>
      <c r="G154" s="204" t="s">
        <v>646</v>
      </c>
      <c r="H154" s="206"/>
      <c r="I154" s="206"/>
      <c r="J154" s="204"/>
      <c r="K154" s="207"/>
      <c r="L154" s="204"/>
      <c r="M154" s="332"/>
      <c r="N154" s="282"/>
      <c r="O154" s="282"/>
      <c r="P154" s="283"/>
    </row>
    <row r="155" spans="1:16" ht="46.5" customHeight="1">
      <c r="A155" s="9">
        <v>145</v>
      </c>
      <c r="B155" s="200"/>
      <c r="C155" s="206" t="s">
        <v>725</v>
      </c>
      <c r="D155" s="203" t="s">
        <v>726</v>
      </c>
      <c r="E155" s="204">
        <v>24</v>
      </c>
      <c r="F155" s="213">
        <v>1</v>
      </c>
      <c r="G155" s="204" t="s">
        <v>646</v>
      </c>
      <c r="H155" s="206"/>
      <c r="I155" s="206"/>
      <c r="J155" s="204"/>
      <c r="K155" s="207"/>
      <c r="L155" s="204"/>
      <c r="M155" s="332"/>
      <c r="N155" s="282"/>
      <c r="O155" s="282"/>
      <c r="P155" s="283"/>
    </row>
    <row r="156" spans="1:16" ht="46.5" customHeight="1">
      <c r="A156" s="9">
        <v>146</v>
      </c>
      <c r="B156" s="200"/>
      <c r="C156" s="206" t="s">
        <v>727</v>
      </c>
      <c r="D156" s="184" t="s">
        <v>728</v>
      </c>
      <c r="E156" s="182">
        <v>24</v>
      </c>
      <c r="F156" s="201">
        <v>2</v>
      </c>
      <c r="G156" s="182" t="s">
        <v>646</v>
      </c>
      <c r="H156" s="200"/>
      <c r="I156" s="200"/>
      <c r="J156" s="182"/>
      <c r="K156" s="202"/>
      <c r="L156" s="182"/>
      <c r="M156" s="330"/>
      <c r="N156" s="278"/>
      <c r="O156" s="278"/>
      <c r="P156" s="279"/>
    </row>
    <row r="157" spans="1:16" ht="46.5" customHeight="1">
      <c r="A157" s="9">
        <v>147</v>
      </c>
      <c r="B157" s="200"/>
      <c r="C157" s="206" t="s">
        <v>729</v>
      </c>
      <c r="D157" s="184" t="s">
        <v>730</v>
      </c>
      <c r="E157" s="182">
        <v>24</v>
      </c>
      <c r="F157" s="201">
        <v>1</v>
      </c>
      <c r="G157" s="182" t="s">
        <v>646</v>
      </c>
      <c r="H157" s="200"/>
      <c r="I157" s="200"/>
      <c r="J157" s="182"/>
      <c r="K157" s="202"/>
      <c r="L157" s="182"/>
      <c r="M157" s="330"/>
      <c r="N157" s="278"/>
      <c r="O157" s="278"/>
      <c r="P157" s="279"/>
    </row>
    <row r="158" spans="1:16" ht="46.5" customHeight="1">
      <c r="A158" s="9">
        <v>148</v>
      </c>
      <c r="B158" s="200"/>
      <c r="C158" s="206" t="s">
        <v>731</v>
      </c>
      <c r="D158" s="184" t="s">
        <v>732</v>
      </c>
      <c r="E158" s="182">
        <v>24</v>
      </c>
      <c r="F158" s="201">
        <v>1</v>
      </c>
      <c r="G158" s="182" t="s">
        <v>646</v>
      </c>
      <c r="H158" s="200"/>
      <c r="I158" s="200"/>
      <c r="J158" s="182"/>
      <c r="K158" s="202"/>
      <c r="L158" s="182"/>
      <c r="M158" s="330"/>
      <c r="N158" s="278"/>
      <c r="O158" s="278"/>
      <c r="P158" s="279"/>
    </row>
    <row r="159" spans="1:16" ht="46.5" customHeight="1">
      <c r="A159" s="9">
        <v>149</v>
      </c>
      <c r="B159" s="200"/>
      <c r="C159" s="206" t="s">
        <v>733</v>
      </c>
      <c r="D159" s="184" t="s">
        <v>734</v>
      </c>
      <c r="E159" s="182">
        <v>24</v>
      </c>
      <c r="F159" s="201">
        <v>1</v>
      </c>
      <c r="G159" s="182" t="s">
        <v>646</v>
      </c>
      <c r="H159" s="200"/>
      <c r="I159" s="200"/>
      <c r="J159" s="182"/>
      <c r="K159" s="202"/>
      <c r="L159" s="182"/>
      <c r="M159" s="330"/>
      <c r="N159" s="278"/>
      <c r="O159" s="278"/>
      <c r="P159" s="279"/>
    </row>
    <row r="160" spans="1:16" ht="46.5" customHeight="1">
      <c r="A160" s="334">
        <v>150</v>
      </c>
      <c r="B160" s="200" t="s">
        <v>419</v>
      </c>
      <c r="C160" s="206" t="s">
        <v>735</v>
      </c>
      <c r="D160" s="184" t="s">
        <v>737</v>
      </c>
      <c r="E160" s="182">
        <v>24</v>
      </c>
      <c r="F160" s="201">
        <v>1</v>
      </c>
      <c r="G160" s="182" t="s">
        <v>72</v>
      </c>
      <c r="H160" s="200"/>
      <c r="I160" s="200"/>
      <c r="J160" s="182"/>
      <c r="K160" s="202"/>
      <c r="L160" s="182"/>
      <c r="M160" s="330" t="s">
        <v>736</v>
      </c>
      <c r="N160" s="278"/>
      <c r="O160" s="278"/>
      <c r="P160" s="279"/>
    </row>
    <row r="161" spans="1:16" ht="46.5" customHeight="1">
      <c r="A161" s="9">
        <v>151</v>
      </c>
      <c r="B161" s="200"/>
      <c r="C161" s="206" t="s">
        <v>529</v>
      </c>
      <c r="D161" s="184" t="s">
        <v>530</v>
      </c>
      <c r="E161" s="182">
        <v>24</v>
      </c>
      <c r="F161" s="201">
        <v>8</v>
      </c>
      <c r="G161" s="182" t="s">
        <v>70</v>
      </c>
      <c r="H161" s="200"/>
      <c r="I161" s="200"/>
      <c r="J161" s="182"/>
      <c r="K161" s="202"/>
      <c r="L161" s="182"/>
      <c r="M161" s="330"/>
      <c r="N161" s="278"/>
      <c r="O161" s="278"/>
      <c r="P161" s="279"/>
    </row>
    <row r="162" spans="1:16" ht="46.5" customHeight="1">
      <c r="A162" s="9">
        <v>152</v>
      </c>
      <c r="B162" s="200"/>
      <c r="C162" s="206" t="s">
        <v>738</v>
      </c>
      <c r="D162" s="203" t="s">
        <v>242</v>
      </c>
      <c r="E162" s="204">
        <v>24</v>
      </c>
      <c r="F162" s="201">
        <v>1</v>
      </c>
      <c r="G162" s="182" t="s">
        <v>70</v>
      </c>
      <c r="H162" s="200"/>
      <c r="I162" s="200"/>
      <c r="J162" s="182"/>
      <c r="K162" s="202"/>
      <c r="L162" s="182"/>
      <c r="M162" s="330" t="s">
        <v>740</v>
      </c>
      <c r="N162" s="278"/>
      <c r="O162" s="278"/>
      <c r="P162" s="279"/>
    </row>
    <row r="163" spans="1:16" ht="46.5" customHeight="1">
      <c r="A163" s="9">
        <v>153</v>
      </c>
      <c r="B163" s="200"/>
      <c r="C163" s="206" t="s">
        <v>739</v>
      </c>
      <c r="D163" s="203" t="s">
        <v>242</v>
      </c>
      <c r="E163" s="204">
        <v>24</v>
      </c>
      <c r="F163" s="201">
        <v>2</v>
      </c>
      <c r="G163" s="182" t="s">
        <v>70</v>
      </c>
      <c r="H163" s="200"/>
      <c r="I163" s="200"/>
      <c r="J163" s="182"/>
      <c r="K163" s="202"/>
      <c r="L163" s="182"/>
      <c r="M163" s="330" t="s">
        <v>741</v>
      </c>
      <c r="N163" s="278"/>
      <c r="O163" s="278"/>
      <c r="P163" s="279"/>
    </row>
    <row r="164" spans="1:16" ht="46.5" customHeight="1">
      <c r="A164" s="9">
        <v>154</v>
      </c>
      <c r="B164" s="200" t="s">
        <v>488</v>
      </c>
      <c r="C164" s="206" t="s">
        <v>742</v>
      </c>
      <c r="D164" s="203" t="s">
        <v>186</v>
      </c>
      <c r="E164" s="204">
        <v>24</v>
      </c>
      <c r="F164" s="201">
        <v>2</v>
      </c>
      <c r="G164" s="182" t="s">
        <v>70</v>
      </c>
      <c r="H164" s="200"/>
      <c r="I164" s="200"/>
      <c r="J164" s="182"/>
      <c r="K164" s="202"/>
      <c r="L164" s="182"/>
      <c r="M164" s="330" t="s">
        <v>743</v>
      </c>
      <c r="N164" s="278"/>
      <c r="O164" s="278"/>
      <c r="P164" s="279"/>
    </row>
    <row r="165" spans="1:16" ht="46.5" customHeight="1">
      <c r="A165" s="9">
        <v>155</v>
      </c>
      <c r="B165" s="200" t="s">
        <v>744</v>
      </c>
      <c r="C165" s="329" t="s">
        <v>909</v>
      </c>
      <c r="D165" s="203" t="s">
        <v>186</v>
      </c>
      <c r="E165" s="204">
        <v>24</v>
      </c>
      <c r="F165" s="201">
        <v>1</v>
      </c>
      <c r="G165" s="204" t="s">
        <v>70</v>
      </c>
      <c r="H165" s="206"/>
      <c r="I165" s="206"/>
      <c r="J165" s="204"/>
      <c r="K165" s="207"/>
      <c r="L165" s="204"/>
      <c r="M165" s="330" t="s">
        <v>248</v>
      </c>
      <c r="N165" s="278"/>
      <c r="O165" s="278"/>
      <c r="P165" s="279"/>
    </row>
    <row r="166" spans="1:16" ht="46.5" customHeight="1">
      <c r="A166" s="9">
        <v>156</v>
      </c>
      <c r="B166" s="200" t="s">
        <v>56</v>
      </c>
      <c r="C166" s="206" t="s">
        <v>630</v>
      </c>
      <c r="D166" s="203" t="s">
        <v>334</v>
      </c>
      <c r="E166" s="204">
        <v>24</v>
      </c>
      <c r="F166" s="201">
        <v>1</v>
      </c>
      <c r="G166" s="204" t="s">
        <v>70</v>
      </c>
      <c r="H166" s="206"/>
      <c r="I166" s="206"/>
      <c r="J166" s="204"/>
      <c r="K166" s="207"/>
      <c r="L166" s="204"/>
      <c r="M166" s="330"/>
      <c r="N166" s="278"/>
      <c r="O166" s="278"/>
      <c r="P166" s="279"/>
    </row>
    <row r="167" spans="1:16" ht="46.5" customHeight="1">
      <c r="A167" s="9">
        <v>157</v>
      </c>
      <c r="B167" s="200" t="s">
        <v>55</v>
      </c>
      <c r="C167" s="206" t="s">
        <v>748</v>
      </c>
      <c r="D167" s="203" t="s">
        <v>187</v>
      </c>
      <c r="E167" s="204">
        <v>24</v>
      </c>
      <c r="F167" s="201">
        <v>1</v>
      </c>
      <c r="G167" s="204" t="s">
        <v>70</v>
      </c>
      <c r="H167" s="206"/>
      <c r="I167" s="206"/>
      <c r="J167" s="204"/>
      <c r="K167" s="207"/>
      <c r="L167" s="204"/>
      <c r="M167" s="330"/>
      <c r="N167" s="278"/>
      <c r="O167" s="278"/>
      <c r="P167" s="279"/>
    </row>
    <row r="168" spans="1:16" ht="46.5" customHeight="1">
      <c r="A168" s="9">
        <v>158</v>
      </c>
      <c r="B168" s="200"/>
      <c r="C168" s="329" t="s">
        <v>910</v>
      </c>
      <c r="D168" s="203" t="s">
        <v>313</v>
      </c>
      <c r="E168" s="204">
        <v>24</v>
      </c>
      <c r="F168" s="201">
        <v>2</v>
      </c>
      <c r="G168" s="204" t="s">
        <v>70</v>
      </c>
      <c r="H168" s="206"/>
      <c r="I168" s="206"/>
      <c r="J168" s="204"/>
      <c r="K168" s="207"/>
      <c r="L168" s="204"/>
      <c r="M168" s="330" t="s">
        <v>749</v>
      </c>
      <c r="N168" s="278"/>
      <c r="O168" s="278"/>
      <c r="P168" s="279"/>
    </row>
    <row r="169" spans="1:16" ht="46.5" customHeight="1">
      <c r="A169" s="9">
        <v>159</v>
      </c>
      <c r="B169" s="335"/>
      <c r="C169" s="336" t="s">
        <v>693</v>
      </c>
      <c r="D169" s="337" t="s">
        <v>237</v>
      </c>
      <c r="E169" s="340">
        <v>24</v>
      </c>
      <c r="F169" s="338">
        <v>3</v>
      </c>
      <c r="G169" s="340" t="s">
        <v>70</v>
      </c>
      <c r="H169" s="336"/>
      <c r="I169" s="336"/>
      <c r="J169" s="340"/>
      <c r="K169" s="341"/>
      <c r="L169" s="340"/>
      <c r="M169" s="550" t="s">
        <v>775</v>
      </c>
      <c r="N169" s="551"/>
      <c r="O169" s="551"/>
      <c r="P169" s="552"/>
    </row>
    <row r="170" spans="1:16" ht="46.5" customHeight="1">
      <c r="A170" s="9">
        <v>160</v>
      </c>
      <c r="B170" s="200"/>
      <c r="C170" s="206" t="s">
        <v>770</v>
      </c>
      <c r="D170" s="203" t="s">
        <v>769</v>
      </c>
      <c r="E170" s="204">
        <v>24</v>
      </c>
      <c r="F170" s="201">
        <v>3</v>
      </c>
      <c r="G170" s="204" t="s">
        <v>70</v>
      </c>
      <c r="H170" s="206"/>
      <c r="I170" s="206"/>
      <c r="J170" s="204"/>
      <c r="K170" s="207"/>
      <c r="L170" s="204"/>
      <c r="M170" s="330" t="s">
        <v>757</v>
      </c>
      <c r="N170" s="278"/>
      <c r="O170" s="278"/>
      <c r="P170" s="279"/>
    </row>
    <row r="171" spans="1:16" ht="46.5" customHeight="1">
      <c r="A171" s="9">
        <v>161</v>
      </c>
      <c r="B171" s="200"/>
      <c r="C171" s="206" t="s">
        <v>771</v>
      </c>
      <c r="D171" s="203" t="s">
        <v>769</v>
      </c>
      <c r="E171" s="204">
        <v>24</v>
      </c>
      <c r="F171" s="201">
        <v>1</v>
      </c>
      <c r="G171" s="204" t="s">
        <v>70</v>
      </c>
      <c r="H171" s="206"/>
      <c r="I171" s="206"/>
      <c r="J171" s="204"/>
      <c r="K171" s="207"/>
      <c r="L171" s="204"/>
      <c r="M171" s="330" t="s">
        <v>763</v>
      </c>
      <c r="N171" s="278"/>
      <c r="O171" s="278"/>
      <c r="P171" s="279"/>
    </row>
    <row r="172" spans="1:16" ht="46.5" customHeight="1">
      <c r="A172" s="9">
        <v>162</v>
      </c>
      <c r="B172" s="200"/>
      <c r="C172" s="206" t="s">
        <v>772</v>
      </c>
      <c r="D172" s="203" t="s">
        <v>769</v>
      </c>
      <c r="E172" s="204">
        <v>24</v>
      </c>
      <c r="F172" s="201">
        <v>3</v>
      </c>
      <c r="G172" s="204" t="s">
        <v>70</v>
      </c>
      <c r="H172" s="206"/>
      <c r="I172" s="206"/>
      <c r="J172" s="204"/>
      <c r="K172" s="207"/>
      <c r="L172" s="204"/>
      <c r="M172" s="330" t="s">
        <v>762</v>
      </c>
      <c r="N172" s="278"/>
      <c r="O172" s="278"/>
      <c r="P172" s="279"/>
    </row>
    <row r="173" spans="1:16" ht="46.5" customHeight="1">
      <c r="A173" s="9">
        <v>163</v>
      </c>
      <c r="B173" s="200"/>
      <c r="C173" s="206" t="s">
        <v>773</v>
      </c>
      <c r="D173" s="203" t="s">
        <v>769</v>
      </c>
      <c r="E173" s="204">
        <v>24</v>
      </c>
      <c r="F173" s="201">
        <v>1</v>
      </c>
      <c r="G173" s="204" t="s">
        <v>70</v>
      </c>
      <c r="H173" s="206"/>
      <c r="I173" s="206"/>
      <c r="J173" s="204"/>
      <c r="K173" s="207"/>
      <c r="L173" s="204"/>
      <c r="M173" s="330" t="s">
        <v>767</v>
      </c>
      <c r="N173" s="278"/>
      <c r="O173" s="278"/>
      <c r="P173" s="279"/>
    </row>
    <row r="174" spans="1:16" ht="46.5" customHeight="1">
      <c r="A174" s="9">
        <v>164</v>
      </c>
      <c r="B174" s="200"/>
      <c r="C174" s="206" t="s">
        <v>774</v>
      </c>
      <c r="D174" s="203" t="s">
        <v>769</v>
      </c>
      <c r="E174" s="204">
        <v>24</v>
      </c>
      <c r="F174" s="201">
        <v>4</v>
      </c>
      <c r="G174" s="204" t="s">
        <v>70</v>
      </c>
      <c r="H174" s="206"/>
      <c r="I174" s="206"/>
      <c r="J174" s="204"/>
      <c r="K174" s="207"/>
      <c r="L174" s="204"/>
      <c r="M174" s="330" t="s">
        <v>768</v>
      </c>
      <c r="N174" s="278"/>
      <c r="O174" s="278"/>
      <c r="P174" s="279"/>
    </row>
    <row r="175" spans="1:16" ht="46.5" customHeight="1">
      <c r="A175" s="9">
        <v>165</v>
      </c>
      <c r="B175" s="200"/>
      <c r="C175" s="206" t="s">
        <v>533</v>
      </c>
      <c r="D175" s="203" t="s">
        <v>534</v>
      </c>
      <c r="E175" s="204">
        <v>24</v>
      </c>
      <c r="F175" s="201">
        <v>28</v>
      </c>
      <c r="G175" s="204" t="s">
        <v>70</v>
      </c>
      <c r="H175" s="206"/>
      <c r="I175" s="206"/>
      <c r="J175" s="204"/>
      <c r="K175" s="207"/>
      <c r="L175" s="204"/>
      <c r="M175" s="330" t="s">
        <v>781</v>
      </c>
      <c r="N175" s="278"/>
      <c r="O175" s="278"/>
      <c r="P175" s="279"/>
    </row>
    <row r="176" spans="1:16" ht="46.5" customHeight="1">
      <c r="A176" s="9">
        <v>166</v>
      </c>
      <c r="B176" s="200"/>
      <c r="C176" s="329" t="s">
        <v>911</v>
      </c>
      <c r="D176" s="203" t="s">
        <v>864</v>
      </c>
      <c r="E176" s="204">
        <v>24</v>
      </c>
      <c r="F176" s="201">
        <v>1</v>
      </c>
      <c r="G176" s="204" t="s">
        <v>865</v>
      </c>
      <c r="H176" s="206"/>
      <c r="I176" s="206"/>
      <c r="J176" s="204"/>
      <c r="K176" s="207"/>
      <c r="L176" s="204"/>
      <c r="M176" s="342" t="s">
        <v>866</v>
      </c>
      <c r="N176" s="278"/>
      <c r="O176" s="278"/>
      <c r="P176" s="279"/>
    </row>
    <row r="177" spans="1:16" ht="46.5" customHeight="1">
      <c r="A177" s="9">
        <v>167</v>
      </c>
      <c r="B177" s="364"/>
      <c r="C177" s="365" t="s">
        <v>929</v>
      </c>
      <c r="D177" s="366" t="s">
        <v>930</v>
      </c>
      <c r="E177" s="367">
        <v>24</v>
      </c>
      <c r="F177" s="201">
        <v>12</v>
      </c>
      <c r="G177" s="367" t="s">
        <v>646</v>
      </c>
      <c r="H177" s="365"/>
      <c r="I177" s="365"/>
      <c r="J177" s="367"/>
      <c r="K177" s="368"/>
      <c r="L177" s="367"/>
      <c r="M177" s="369"/>
      <c r="N177" s="370"/>
      <c r="O177" s="370"/>
      <c r="P177" s="371"/>
    </row>
    <row r="178" spans="1:16" ht="46.5" customHeight="1">
      <c r="A178" s="9">
        <v>168</v>
      </c>
      <c r="B178" s="364"/>
      <c r="C178" s="365" t="s">
        <v>931</v>
      </c>
      <c r="D178" s="366" t="s">
        <v>932</v>
      </c>
      <c r="E178" s="367">
        <v>24</v>
      </c>
      <c r="F178" s="201">
        <v>40</v>
      </c>
      <c r="G178" s="367" t="s">
        <v>646</v>
      </c>
      <c r="H178" s="365"/>
      <c r="I178" s="365"/>
      <c r="J178" s="367"/>
      <c r="K178" s="368"/>
      <c r="L178" s="367"/>
      <c r="M178" s="369"/>
      <c r="N178" s="370"/>
      <c r="O178" s="370"/>
      <c r="P178" s="371"/>
    </row>
    <row r="179" spans="1:16" ht="46.5" customHeight="1">
      <c r="A179" s="9">
        <v>169</v>
      </c>
      <c r="B179" s="383"/>
      <c r="C179" s="384" t="s">
        <v>988</v>
      </c>
      <c r="D179" s="385" t="s">
        <v>989</v>
      </c>
      <c r="E179" s="386">
        <v>24</v>
      </c>
      <c r="F179" s="387">
        <v>1.6E-2</v>
      </c>
      <c r="G179" s="386" t="s">
        <v>990</v>
      </c>
      <c r="H179" s="384"/>
      <c r="I179" s="384"/>
      <c r="J179" s="386"/>
      <c r="K179" s="388"/>
      <c r="L179" s="386"/>
      <c r="M179" s="381" t="s">
        <v>1083</v>
      </c>
      <c r="N179" s="389"/>
      <c r="O179" s="389"/>
      <c r="P179" s="390"/>
    </row>
    <row r="180" spans="1:16" ht="46.5" customHeight="1">
      <c r="A180" s="9">
        <v>170</v>
      </c>
      <c r="B180" s="364"/>
      <c r="C180" s="365" t="s">
        <v>1036</v>
      </c>
      <c r="D180" s="366" t="s">
        <v>941</v>
      </c>
      <c r="E180" s="204">
        <v>24</v>
      </c>
      <c r="F180" s="201">
        <v>1</v>
      </c>
      <c r="G180" s="367" t="s">
        <v>646</v>
      </c>
      <c r="H180" s="365"/>
      <c r="I180" s="365"/>
      <c r="J180" s="367"/>
      <c r="K180" s="368"/>
      <c r="L180" s="367"/>
      <c r="M180" s="382" t="s">
        <v>1029</v>
      </c>
      <c r="N180" s="370"/>
      <c r="O180" s="370"/>
      <c r="P180" s="371"/>
    </row>
    <row r="181" spans="1:16" ht="46.5" customHeight="1">
      <c r="A181" s="9">
        <v>171</v>
      </c>
      <c r="B181" s="364"/>
      <c r="C181" s="365" t="s">
        <v>940</v>
      </c>
      <c r="D181" s="366" t="s">
        <v>941</v>
      </c>
      <c r="E181" s="204">
        <v>24</v>
      </c>
      <c r="F181" s="201">
        <v>2</v>
      </c>
      <c r="G181" s="367" t="s">
        <v>646</v>
      </c>
      <c r="H181" s="365"/>
      <c r="I181" s="365"/>
      <c r="J181" s="367"/>
      <c r="K181" s="368"/>
      <c r="L181" s="367"/>
      <c r="M181" s="382" t="s">
        <v>937</v>
      </c>
      <c r="N181" s="370"/>
      <c r="O181" s="370"/>
      <c r="P181" s="371"/>
    </row>
    <row r="182" spans="1:16" ht="46.5" customHeight="1">
      <c r="A182" s="9">
        <v>172</v>
      </c>
      <c r="B182" s="364"/>
      <c r="C182" s="365" t="s">
        <v>986</v>
      </c>
      <c r="D182" s="366" t="s">
        <v>987</v>
      </c>
      <c r="E182" s="204">
        <v>24</v>
      </c>
      <c r="F182" s="201">
        <v>2</v>
      </c>
      <c r="G182" s="367" t="s">
        <v>646</v>
      </c>
      <c r="H182" s="365"/>
      <c r="I182" s="365"/>
      <c r="J182" s="367"/>
      <c r="K182" s="368"/>
      <c r="L182" s="367"/>
      <c r="M182" s="382" t="s">
        <v>985</v>
      </c>
      <c r="N182" s="370"/>
      <c r="O182" s="370"/>
      <c r="P182" s="371"/>
    </row>
    <row r="183" spans="1:16" ht="46.5" customHeight="1">
      <c r="A183" s="9">
        <v>173</v>
      </c>
      <c r="B183" s="364"/>
      <c r="C183" s="365" t="s">
        <v>962</v>
      </c>
      <c r="D183" s="366" t="s">
        <v>963</v>
      </c>
      <c r="E183" s="204">
        <v>24</v>
      </c>
      <c r="F183" s="201">
        <v>3</v>
      </c>
      <c r="G183" s="367" t="s">
        <v>646</v>
      </c>
      <c r="H183" s="365"/>
      <c r="I183" s="365"/>
      <c r="J183" s="367"/>
      <c r="K183" s="368"/>
      <c r="L183" s="367"/>
      <c r="M183" s="382"/>
      <c r="N183" s="370"/>
      <c r="O183" s="370"/>
      <c r="P183" s="371"/>
    </row>
    <row r="184" spans="1:16" ht="46.5" customHeight="1">
      <c r="A184" s="9">
        <v>174</v>
      </c>
      <c r="B184" s="364"/>
      <c r="C184" s="365" t="s">
        <v>967</v>
      </c>
      <c r="D184" s="366" t="s">
        <v>968</v>
      </c>
      <c r="E184" s="204">
        <v>24</v>
      </c>
      <c r="F184" s="201">
        <v>1</v>
      </c>
      <c r="G184" s="367" t="s">
        <v>646</v>
      </c>
      <c r="H184" s="365"/>
      <c r="I184" s="365"/>
      <c r="J184" s="367"/>
      <c r="K184" s="368"/>
      <c r="L184" s="367"/>
      <c r="M184" s="382"/>
      <c r="N184" s="370"/>
      <c r="O184" s="370"/>
      <c r="P184" s="371"/>
    </row>
    <row r="185" spans="1:16" ht="46.5" customHeight="1">
      <c r="A185" s="9">
        <v>175</v>
      </c>
      <c r="B185" s="364"/>
      <c r="C185" s="365" t="s">
        <v>972</v>
      </c>
      <c r="D185" s="366" t="s">
        <v>973</v>
      </c>
      <c r="E185" s="204">
        <v>24</v>
      </c>
      <c r="F185" s="201">
        <v>2</v>
      </c>
      <c r="G185" s="367" t="s">
        <v>646</v>
      </c>
      <c r="H185" s="365"/>
      <c r="I185" s="365"/>
      <c r="J185" s="367"/>
      <c r="K185" s="368"/>
      <c r="L185" s="367"/>
      <c r="M185" s="382"/>
      <c r="N185" s="370"/>
      <c r="O185" s="370"/>
      <c r="P185" s="371"/>
    </row>
    <row r="186" spans="1:16" ht="46.5" customHeight="1">
      <c r="A186" s="9">
        <v>176</v>
      </c>
      <c r="B186" s="200"/>
      <c r="C186" s="206" t="s">
        <v>1034</v>
      </c>
      <c r="D186" s="203" t="s">
        <v>1035</v>
      </c>
      <c r="E186" s="204">
        <v>24</v>
      </c>
      <c r="F186" s="201">
        <v>2</v>
      </c>
      <c r="G186" s="204" t="s">
        <v>646</v>
      </c>
      <c r="H186" s="206"/>
      <c r="I186" s="206"/>
      <c r="J186" s="204"/>
      <c r="K186" s="207"/>
      <c r="L186" s="204"/>
      <c r="M186" s="382" t="s">
        <v>1029</v>
      </c>
      <c r="N186" s="278"/>
      <c r="O186" s="278"/>
      <c r="P186" s="279"/>
    </row>
    <row r="187" spans="1:16" ht="46.5" customHeight="1">
      <c r="A187" s="9">
        <v>177</v>
      </c>
      <c r="B187" s="200"/>
      <c r="C187" s="206"/>
      <c r="D187" s="203"/>
      <c r="E187" s="204"/>
      <c r="F187" s="201"/>
      <c r="G187" s="204"/>
      <c r="H187" s="206"/>
      <c r="I187" s="206"/>
      <c r="J187" s="204"/>
      <c r="K187" s="207"/>
      <c r="L187" s="204"/>
      <c r="M187" s="330"/>
      <c r="N187" s="278"/>
      <c r="O187" s="278"/>
      <c r="P187" s="279"/>
    </row>
    <row r="188" spans="1:16" ht="46.5" customHeight="1">
      <c r="A188" s="9">
        <v>178</v>
      </c>
      <c r="B188" s="200"/>
      <c r="C188" s="206"/>
      <c r="D188" s="203"/>
      <c r="E188" s="204"/>
      <c r="F188" s="201"/>
      <c r="G188" s="204"/>
      <c r="H188" s="206"/>
      <c r="I188" s="206"/>
      <c r="J188" s="204"/>
      <c r="K188" s="207"/>
      <c r="L188" s="204"/>
      <c r="M188" s="330"/>
      <c r="N188" s="278"/>
      <c r="O188" s="278"/>
      <c r="P188" s="279"/>
    </row>
    <row r="189" spans="1:16" ht="46.5" customHeight="1">
      <c r="A189" s="9">
        <v>179</v>
      </c>
      <c r="B189" s="200"/>
      <c r="C189" s="206"/>
      <c r="D189" s="203"/>
      <c r="E189" s="204"/>
      <c r="F189" s="201"/>
      <c r="G189" s="204"/>
      <c r="H189" s="206"/>
      <c r="I189" s="206"/>
      <c r="J189" s="204"/>
      <c r="K189" s="207"/>
      <c r="L189" s="204"/>
      <c r="M189" s="330"/>
      <c r="N189" s="278"/>
      <c r="O189" s="278"/>
      <c r="P189" s="279"/>
    </row>
    <row r="190" spans="1:16" ht="46.5" customHeight="1">
      <c r="A190" s="9">
        <v>180</v>
      </c>
      <c r="B190" s="200"/>
      <c r="C190" s="206"/>
      <c r="D190" s="203"/>
      <c r="E190" s="204"/>
      <c r="F190" s="201"/>
      <c r="G190" s="204"/>
      <c r="H190" s="206"/>
      <c r="I190" s="206"/>
      <c r="J190" s="204"/>
      <c r="K190" s="207"/>
      <c r="L190" s="204"/>
      <c r="M190" s="330"/>
      <c r="N190" s="278"/>
      <c r="O190" s="278"/>
      <c r="P190" s="279"/>
    </row>
    <row r="191" spans="1:16" ht="46.5" customHeight="1">
      <c r="A191" s="9">
        <v>181</v>
      </c>
      <c r="B191" s="200"/>
      <c r="C191" s="206"/>
      <c r="D191" s="203"/>
      <c r="E191" s="204"/>
      <c r="F191" s="201"/>
      <c r="G191" s="204"/>
      <c r="H191" s="206"/>
      <c r="I191" s="206"/>
      <c r="J191" s="204"/>
      <c r="K191" s="207"/>
      <c r="L191" s="204"/>
      <c r="M191" s="330"/>
      <c r="N191" s="278"/>
      <c r="O191" s="278"/>
      <c r="P191" s="279"/>
    </row>
    <row r="192" spans="1:16" ht="46.5" customHeight="1">
      <c r="A192" s="9">
        <v>182</v>
      </c>
      <c r="B192" s="200"/>
      <c r="C192" s="206"/>
      <c r="D192" s="203"/>
      <c r="E192" s="204"/>
      <c r="F192" s="201"/>
      <c r="G192" s="204"/>
      <c r="H192" s="206"/>
      <c r="I192" s="206"/>
      <c r="J192" s="204"/>
      <c r="K192" s="207"/>
      <c r="L192" s="204"/>
      <c r="M192" s="330"/>
      <c r="N192" s="278"/>
      <c r="O192" s="278"/>
      <c r="P192" s="279"/>
    </row>
    <row r="193" spans="1:16" ht="46.5" customHeight="1">
      <c r="A193" s="9">
        <v>183</v>
      </c>
      <c r="B193" s="200" t="s">
        <v>39</v>
      </c>
      <c r="C193" s="206" t="s">
        <v>755</v>
      </c>
      <c r="D193" s="203" t="s">
        <v>222</v>
      </c>
      <c r="E193" s="204">
        <v>25</v>
      </c>
      <c r="F193" s="201">
        <v>1</v>
      </c>
      <c r="G193" s="204" t="s">
        <v>70</v>
      </c>
      <c r="H193" s="206"/>
      <c r="I193" s="206"/>
      <c r="J193" s="204"/>
      <c r="K193" s="207"/>
      <c r="L193" s="204"/>
      <c r="M193" s="330" t="s">
        <v>757</v>
      </c>
      <c r="N193" s="278"/>
      <c r="O193" s="278"/>
      <c r="P193" s="279"/>
    </row>
    <row r="194" spans="1:16" ht="46.5" customHeight="1">
      <c r="A194" s="9">
        <v>184</v>
      </c>
      <c r="B194" s="200" t="s">
        <v>39</v>
      </c>
      <c r="C194" s="206" t="s">
        <v>756</v>
      </c>
      <c r="D194" s="203" t="s">
        <v>221</v>
      </c>
      <c r="E194" s="204">
        <v>25</v>
      </c>
      <c r="F194" s="201">
        <v>1</v>
      </c>
      <c r="G194" s="204" t="s">
        <v>70</v>
      </c>
      <c r="H194" s="206"/>
      <c r="I194" s="206"/>
      <c r="J194" s="204"/>
      <c r="K194" s="207"/>
      <c r="L194" s="204"/>
      <c r="M194" s="330" t="s">
        <v>62</v>
      </c>
      <c r="N194" s="278"/>
      <c r="O194" s="278"/>
      <c r="P194" s="279"/>
    </row>
    <row r="195" spans="1:16" ht="46.5" customHeight="1">
      <c r="A195" s="9">
        <v>185</v>
      </c>
      <c r="B195" s="200" t="s">
        <v>39</v>
      </c>
      <c r="C195" s="206" t="s">
        <v>755</v>
      </c>
      <c r="D195" s="203" t="s">
        <v>222</v>
      </c>
      <c r="E195" s="204">
        <v>26</v>
      </c>
      <c r="F195" s="201">
        <v>1</v>
      </c>
      <c r="G195" s="204" t="s">
        <v>70</v>
      </c>
      <c r="H195" s="206"/>
      <c r="I195" s="206"/>
      <c r="J195" s="204"/>
      <c r="K195" s="207"/>
      <c r="L195" s="204"/>
      <c r="M195" s="330" t="s">
        <v>757</v>
      </c>
      <c r="N195" s="278"/>
      <c r="O195" s="278"/>
      <c r="P195" s="279"/>
    </row>
    <row r="196" spans="1:16" ht="46.5" customHeight="1">
      <c r="A196" s="9">
        <v>186</v>
      </c>
      <c r="B196" s="200" t="s">
        <v>39</v>
      </c>
      <c r="C196" s="206" t="s">
        <v>756</v>
      </c>
      <c r="D196" s="203" t="s">
        <v>221</v>
      </c>
      <c r="E196" s="204">
        <v>26</v>
      </c>
      <c r="F196" s="201">
        <v>1</v>
      </c>
      <c r="G196" s="204" t="s">
        <v>70</v>
      </c>
      <c r="H196" s="206"/>
      <c r="I196" s="206"/>
      <c r="J196" s="204"/>
      <c r="K196" s="207"/>
      <c r="L196" s="204"/>
      <c r="M196" s="330" t="s">
        <v>62</v>
      </c>
      <c r="N196" s="278"/>
      <c r="O196" s="278"/>
      <c r="P196" s="279"/>
    </row>
    <row r="197" spans="1:16" ht="46.5" customHeight="1">
      <c r="A197" s="9">
        <v>187</v>
      </c>
      <c r="B197" s="200" t="s">
        <v>39</v>
      </c>
      <c r="C197" s="206" t="s">
        <v>755</v>
      </c>
      <c r="D197" s="203" t="s">
        <v>222</v>
      </c>
      <c r="E197" s="204">
        <v>27</v>
      </c>
      <c r="F197" s="201">
        <v>1</v>
      </c>
      <c r="G197" s="204" t="s">
        <v>70</v>
      </c>
      <c r="H197" s="206"/>
      <c r="I197" s="206"/>
      <c r="J197" s="204"/>
      <c r="K197" s="207"/>
      <c r="L197" s="204"/>
      <c r="M197" s="330" t="s">
        <v>757</v>
      </c>
      <c r="N197" s="278"/>
      <c r="O197" s="278"/>
      <c r="P197" s="279"/>
    </row>
    <row r="198" spans="1:16" ht="46.5" customHeight="1">
      <c r="A198" s="9">
        <v>188</v>
      </c>
      <c r="B198" s="200" t="s">
        <v>39</v>
      </c>
      <c r="C198" s="206" t="s">
        <v>756</v>
      </c>
      <c r="D198" s="203" t="s">
        <v>221</v>
      </c>
      <c r="E198" s="204">
        <v>27</v>
      </c>
      <c r="F198" s="201">
        <v>1</v>
      </c>
      <c r="G198" s="204" t="s">
        <v>70</v>
      </c>
      <c r="H198" s="206"/>
      <c r="I198" s="206"/>
      <c r="J198" s="204"/>
      <c r="K198" s="207"/>
      <c r="L198" s="204"/>
      <c r="M198" s="330" t="s">
        <v>62</v>
      </c>
      <c r="N198" s="278"/>
      <c r="O198" s="278"/>
      <c r="P198" s="279"/>
    </row>
    <row r="199" spans="1:16" ht="46.5" customHeight="1">
      <c r="A199" s="9">
        <v>189</v>
      </c>
      <c r="B199" s="200"/>
      <c r="C199" s="206"/>
      <c r="D199" s="203"/>
      <c r="E199" s="204"/>
      <c r="F199" s="201"/>
      <c r="G199" s="204"/>
      <c r="H199" s="206"/>
      <c r="I199" s="206"/>
      <c r="J199" s="204"/>
      <c r="K199" s="207"/>
      <c r="L199" s="204"/>
      <c r="M199" s="330"/>
      <c r="N199" s="278"/>
      <c r="O199" s="278"/>
      <c r="P199" s="279"/>
    </row>
    <row r="200" spans="1:16" ht="46.5" customHeight="1">
      <c r="A200" s="9">
        <v>190</v>
      </c>
      <c r="B200" s="200" t="s">
        <v>52</v>
      </c>
      <c r="C200" s="206" t="s">
        <v>758</v>
      </c>
      <c r="D200" s="203" t="s">
        <v>436</v>
      </c>
      <c r="E200" s="204">
        <v>28</v>
      </c>
      <c r="F200" s="201">
        <v>1</v>
      </c>
      <c r="G200" s="204" t="s">
        <v>70</v>
      </c>
      <c r="H200" s="206"/>
      <c r="I200" s="206"/>
      <c r="J200" s="204"/>
      <c r="K200" s="207"/>
      <c r="L200" s="204"/>
      <c r="M200" s="330" t="s">
        <v>763</v>
      </c>
      <c r="N200" s="278"/>
      <c r="O200" s="278"/>
      <c r="P200" s="279"/>
    </row>
    <row r="201" spans="1:16" ht="46.5" customHeight="1">
      <c r="A201" s="9">
        <v>191</v>
      </c>
      <c r="B201" s="200" t="s">
        <v>52</v>
      </c>
      <c r="C201" s="206" t="s">
        <v>759</v>
      </c>
      <c r="D201" s="203" t="s">
        <v>350</v>
      </c>
      <c r="E201" s="204">
        <v>28</v>
      </c>
      <c r="F201" s="201">
        <v>1</v>
      </c>
      <c r="G201" s="204" t="s">
        <v>70</v>
      </c>
      <c r="H201" s="206"/>
      <c r="I201" s="206"/>
      <c r="J201" s="204"/>
      <c r="K201" s="207"/>
      <c r="L201" s="204"/>
      <c r="M201" s="330"/>
      <c r="N201" s="278"/>
      <c r="O201" s="278"/>
      <c r="P201" s="279"/>
    </row>
    <row r="202" spans="1:16" ht="46.5" customHeight="1">
      <c r="A202" s="9">
        <v>192</v>
      </c>
      <c r="B202" s="200"/>
      <c r="C202" s="206"/>
      <c r="D202" s="203"/>
      <c r="E202" s="204"/>
      <c r="F202" s="201"/>
      <c r="G202" s="204"/>
      <c r="H202" s="206"/>
      <c r="I202" s="206"/>
      <c r="J202" s="204"/>
      <c r="K202" s="207"/>
      <c r="L202" s="204"/>
      <c r="M202" s="330"/>
      <c r="N202" s="278"/>
      <c r="O202" s="278"/>
      <c r="P202" s="279"/>
    </row>
    <row r="203" spans="1:16" ht="46.5" customHeight="1">
      <c r="A203" s="9">
        <v>193</v>
      </c>
      <c r="B203" s="200" t="s">
        <v>421</v>
      </c>
      <c r="C203" s="206" t="s">
        <v>760</v>
      </c>
      <c r="D203" s="203" t="s">
        <v>223</v>
      </c>
      <c r="E203" s="204">
        <v>29</v>
      </c>
      <c r="F203" s="201">
        <v>1</v>
      </c>
      <c r="G203" s="204" t="s">
        <v>70</v>
      </c>
      <c r="H203" s="206"/>
      <c r="I203" s="206"/>
      <c r="J203" s="204"/>
      <c r="K203" s="207"/>
      <c r="L203" s="204"/>
      <c r="M203" s="330" t="s">
        <v>762</v>
      </c>
      <c r="N203" s="278"/>
      <c r="O203" s="278"/>
      <c r="P203" s="279"/>
    </row>
    <row r="204" spans="1:16" ht="46.5" customHeight="1">
      <c r="A204" s="9">
        <v>194</v>
      </c>
      <c r="B204" s="200" t="s">
        <v>421</v>
      </c>
      <c r="C204" s="206" t="s">
        <v>761</v>
      </c>
      <c r="D204" s="203" t="s">
        <v>224</v>
      </c>
      <c r="E204" s="204">
        <v>29</v>
      </c>
      <c r="F204" s="201">
        <v>1</v>
      </c>
      <c r="G204" s="204" t="s">
        <v>70</v>
      </c>
      <c r="H204" s="206"/>
      <c r="I204" s="206"/>
      <c r="J204" s="204"/>
      <c r="K204" s="207"/>
      <c r="L204" s="204"/>
      <c r="M204" s="330"/>
      <c r="N204" s="278"/>
      <c r="O204" s="278"/>
      <c r="P204" s="279"/>
    </row>
    <row r="205" spans="1:16" ht="46.5" customHeight="1">
      <c r="A205" s="9">
        <v>195</v>
      </c>
      <c r="B205" s="200" t="s">
        <v>421</v>
      </c>
      <c r="C205" s="206" t="s">
        <v>760</v>
      </c>
      <c r="D205" s="203" t="s">
        <v>223</v>
      </c>
      <c r="E205" s="204">
        <v>29</v>
      </c>
      <c r="F205" s="201">
        <v>1</v>
      </c>
      <c r="G205" s="204" t="s">
        <v>70</v>
      </c>
      <c r="H205" s="206"/>
      <c r="I205" s="206"/>
      <c r="J205" s="204"/>
      <c r="K205" s="207"/>
      <c r="L205" s="204"/>
      <c r="M205" s="330" t="s">
        <v>762</v>
      </c>
      <c r="N205" s="278"/>
      <c r="O205" s="278"/>
      <c r="P205" s="279"/>
    </row>
    <row r="206" spans="1:16" ht="46.5" customHeight="1">
      <c r="A206" s="9">
        <v>196</v>
      </c>
      <c r="B206" s="200" t="s">
        <v>421</v>
      </c>
      <c r="C206" s="206" t="s">
        <v>761</v>
      </c>
      <c r="D206" s="203" t="s">
        <v>224</v>
      </c>
      <c r="E206" s="204">
        <v>29</v>
      </c>
      <c r="F206" s="201">
        <v>1</v>
      </c>
      <c r="G206" s="204" t="s">
        <v>70</v>
      </c>
      <c r="H206" s="206"/>
      <c r="I206" s="206"/>
      <c r="J206" s="204"/>
      <c r="K206" s="207"/>
      <c r="L206" s="204"/>
      <c r="M206" s="330"/>
      <c r="N206" s="278"/>
      <c r="O206" s="278"/>
      <c r="P206" s="279"/>
    </row>
    <row r="207" spans="1:16" ht="46.5" customHeight="1">
      <c r="A207" s="9">
        <v>197</v>
      </c>
      <c r="B207" s="200" t="s">
        <v>421</v>
      </c>
      <c r="C207" s="206" t="s">
        <v>760</v>
      </c>
      <c r="D207" s="203" t="s">
        <v>223</v>
      </c>
      <c r="E207" s="204">
        <v>29</v>
      </c>
      <c r="F207" s="201">
        <v>1</v>
      </c>
      <c r="G207" s="204" t="s">
        <v>70</v>
      </c>
      <c r="H207" s="206"/>
      <c r="I207" s="206"/>
      <c r="J207" s="204"/>
      <c r="K207" s="207"/>
      <c r="L207" s="204"/>
      <c r="M207" s="330" t="s">
        <v>762</v>
      </c>
      <c r="N207" s="278"/>
      <c r="O207" s="278"/>
      <c r="P207" s="279"/>
    </row>
    <row r="208" spans="1:16" ht="46.5" customHeight="1">
      <c r="A208" s="9">
        <v>198</v>
      </c>
      <c r="B208" s="200" t="s">
        <v>421</v>
      </c>
      <c r="C208" s="206" t="s">
        <v>761</v>
      </c>
      <c r="D208" s="203" t="s">
        <v>224</v>
      </c>
      <c r="E208" s="204">
        <v>29</v>
      </c>
      <c r="F208" s="201">
        <v>1</v>
      </c>
      <c r="G208" s="204" t="s">
        <v>70</v>
      </c>
      <c r="H208" s="206"/>
      <c r="I208" s="206"/>
      <c r="J208" s="204"/>
      <c r="K208" s="207"/>
      <c r="L208" s="204"/>
      <c r="M208" s="330"/>
      <c r="N208" s="278"/>
      <c r="O208" s="278"/>
      <c r="P208" s="279"/>
    </row>
    <row r="209" spans="1:16" ht="46.5" customHeight="1">
      <c r="A209" s="9">
        <v>199</v>
      </c>
      <c r="B209" s="200"/>
      <c r="C209" s="206"/>
      <c r="D209" s="203"/>
      <c r="E209" s="204"/>
      <c r="F209" s="201"/>
      <c r="G209" s="204"/>
      <c r="H209" s="206"/>
      <c r="I209" s="206"/>
      <c r="J209" s="204"/>
      <c r="K209" s="207"/>
      <c r="L209" s="204"/>
      <c r="M209" s="330"/>
      <c r="N209" s="278"/>
      <c r="O209" s="278"/>
      <c r="P209" s="279"/>
    </row>
    <row r="210" spans="1:16" ht="46.5" customHeight="1">
      <c r="A210" s="9">
        <v>200</v>
      </c>
      <c r="B210" s="200" t="s">
        <v>52</v>
      </c>
      <c r="C210" s="206" t="s">
        <v>765</v>
      </c>
      <c r="D210" s="203" t="s">
        <v>764</v>
      </c>
      <c r="E210" s="204">
        <v>30</v>
      </c>
      <c r="F210" s="201">
        <v>1</v>
      </c>
      <c r="G210" s="204" t="s">
        <v>70</v>
      </c>
      <c r="H210" s="206"/>
      <c r="I210" s="206"/>
      <c r="J210" s="204"/>
      <c r="K210" s="207"/>
      <c r="L210" s="204"/>
      <c r="M210" s="330" t="s">
        <v>767</v>
      </c>
      <c r="N210" s="278"/>
      <c r="O210" s="278"/>
      <c r="P210" s="279"/>
    </row>
    <row r="211" spans="1:16" ht="46.5" customHeight="1">
      <c r="A211" s="9">
        <v>201</v>
      </c>
      <c r="B211" s="200" t="s">
        <v>52</v>
      </c>
      <c r="C211" s="206" t="s">
        <v>766</v>
      </c>
      <c r="D211" s="203" t="s">
        <v>350</v>
      </c>
      <c r="E211" s="204">
        <v>30</v>
      </c>
      <c r="F211" s="201">
        <v>1</v>
      </c>
      <c r="G211" s="204" t="s">
        <v>70</v>
      </c>
      <c r="H211" s="206"/>
      <c r="I211" s="206"/>
      <c r="J211" s="204"/>
      <c r="K211" s="207"/>
      <c r="L211" s="204"/>
      <c r="M211" s="330"/>
      <c r="N211" s="278"/>
      <c r="O211" s="278"/>
      <c r="P211" s="279"/>
    </row>
    <row r="212" spans="1:16" ht="46.5" customHeight="1">
      <c r="A212" s="9">
        <v>202</v>
      </c>
      <c r="B212" s="200"/>
      <c r="C212" s="206"/>
      <c r="D212" s="203"/>
      <c r="E212" s="204"/>
      <c r="F212" s="201"/>
      <c r="G212" s="204"/>
      <c r="H212" s="206"/>
      <c r="I212" s="206"/>
      <c r="J212" s="204"/>
      <c r="K212" s="207"/>
      <c r="L212" s="204"/>
      <c r="M212" s="330"/>
      <c r="N212" s="278"/>
      <c r="O212" s="278"/>
      <c r="P212" s="279"/>
    </row>
    <row r="213" spans="1:16" ht="46.5" customHeight="1">
      <c r="A213" s="9">
        <v>203</v>
      </c>
      <c r="B213" s="200"/>
      <c r="C213" s="206" t="s">
        <v>750</v>
      </c>
      <c r="D213" s="203" t="s">
        <v>220</v>
      </c>
      <c r="E213" s="204">
        <v>31</v>
      </c>
      <c r="F213" s="201">
        <v>1</v>
      </c>
      <c r="G213" s="204" t="s">
        <v>70</v>
      </c>
      <c r="H213" s="206"/>
      <c r="I213" s="206"/>
      <c r="J213" s="204"/>
      <c r="K213" s="207"/>
      <c r="L213" s="204"/>
      <c r="M213" s="330" t="s">
        <v>768</v>
      </c>
      <c r="N213" s="278"/>
      <c r="O213" s="278"/>
      <c r="P213" s="279"/>
    </row>
    <row r="214" spans="1:16" ht="46.5" customHeight="1">
      <c r="A214" s="9">
        <v>204</v>
      </c>
      <c r="B214" s="200"/>
      <c r="C214" s="206" t="s">
        <v>751</v>
      </c>
      <c r="D214" s="203" t="s">
        <v>221</v>
      </c>
      <c r="E214" s="204">
        <v>31</v>
      </c>
      <c r="F214" s="201">
        <v>1</v>
      </c>
      <c r="G214" s="204" t="s">
        <v>70</v>
      </c>
      <c r="H214" s="206"/>
      <c r="I214" s="206"/>
      <c r="J214" s="204"/>
      <c r="K214" s="207"/>
      <c r="L214" s="204"/>
      <c r="M214" s="330"/>
      <c r="N214" s="278"/>
      <c r="O214" s="278"/>
      <c r="P214" s="279"/>
    </row>
    <row r="215" spans="1:16" ht="46.5" customHeight="1">
      <c r="A215" s="9">
        <v>205</v>
      </c>
      <c r="B215" s="200"/>
      <c r="C215" s="206" t="s">
        <v>750</v>
      </c>
      <c r="D215" s="203" t="s">
        <v>220</v>
      </c>
      <c r="E215" s="204">
        <v>32</v>
      </c>
      <c r="F215" s="201">
        <v>1</v>
      </c>
      <c r="G215" s="204" t="s">
        <v>70</v>
      </c>
      <c r="H215" s="206"/>
      <c r="I215" s="206"/>
      <c r="J215" s="204"/>
      <c r="K215" s="207"/>
      <c r="L215" s="204"/>
      <c r="M215" s="330" t="s">
        <v>768</v>
      </c>
      <c r="N215" s="278"/>
      <c r="O215" s="278"/>
      <c r="P215" s="279"/>
    </row>
    <row r="216" spans="1:16" ht="46.5" customHeight="1">
      <c r="A216" s="9">
        <v>206</v>
      </c>
      <c r="B216" s="200"/>
      <c r="C216" s="206" t="s">
        <v>751</v>
      </c>
      <c r="D216" s="203" t="s">
        <v>221</v>
      </c>
      <c r="E216" s="204">
        <v>32</v>
      </c>
      <c r="F216" s="201">
        <v>1</v>
      </c>
      <c r="G216" s="204" t="s">
        <v>70</v>
      </c>
      <c r="H216" s="206"/>
      <c r="I216" s="206"/>
      <c r="J216" s="204"/>
      <c r="K216" s="207"/>
      <c r="L216" s="204"/>
      <c r="M216" s="330"/>
      <c r="N216" s="278"/>
      <c r="O216" s="278"/>
      <c r="P216" s="279"/>
    </row>
    <row r="217" spans="1:16" ht="46.5" customHeight="1">
      <c r="A217" s="9">
        <v>207</v>
      </c>
      <c r="B217" s="200"/>
      <c r="C217" s="206" t="s">
        <v>750</v>
      </c>
      <c r="D217" s="203" t="s">
        <v>220</v>
      </c>
      <c r="E217" s="204">
        <v>33</v>
      </c>
      <c r="F217" s="201">
        <v>1</v>
      </c>
      <c r="G217" s="204" t="s">
        <v>70</v>
      </c>
      <c r="H217" s="206"/>
      <c r="I217" s="206"/>
      <c r="J217" s="204"/>
      <c r="K217" s="207"/>
      <c r="L217" s="204"/>
      <c r="M217" s="330" t="s">
        <v>768</v>
      </c>
      <c r="N217" s="278"/>
      <c r="O217" s="278"/>
      <c r="P217" s="279"/>
    </row>
    <row r="218" spans="1:16" ht="46.5" customHeight="1">
      <c r="A218" s="9">
        <v>208</v>
      </c>
      <c r="B218" s="200"/>
      <c r="C218" s="206" t="s">
        <v>751</v>
      </c>
      <c r="D218" s="203" t="s">
        <v>221</v>
      </c>
      <c r="E218" s="204">
        <v>33</v>
      </c>
      <c r="F218" s="201">
        <v>1</v>
      </c>
      <c r="G218" s="204" t="s">
        <v>70</v>
      </c>
      <c r="H218" s="206"/>
      <c r="I218" s="206"/>
      <c r="J218" s="204"/>
      <c r="K218" s="207"/>
      <c r="L218" s="204"/>
      <c r="M218" s="330"/>
      <c r="N218" s="278"/>
      <c r="O218" s="278"/>
      <c r="P218" s="279"/>
    </row>
    <row r="219" spans="1:16" ht="46.5" customHeight="1">
      <c r="A219" s="9">
        <v>209</v>
      </c>
      <c r="B219" s="200"/>
      <c r="C219" s="206" t="s">
        <v>750</v>
      </c>
      <c r="D219" s="203" t="s">
        <v>220</v>
      </c>
      <c r="E219" s="204">
        <v>34</v>
      </c>
      <c r="F219" s="201">
        <v>1</v>
      </c>
      <c r="G219" s="204" t="s">
        <v>70</v>
      </c>
      <c r="H219" s="206"/>
      <c r="I219" s="206"/>
      <c r="J219" s="204"/>
      <c r="K219" s="207"/>
      <c r="L219" s="204"/>
      <c r="M219" s="330" t="s">
        <v>768</v>
      </c>
      <c r="N219" s="278"/>
      <c r="O219" s="278"/>
      <c r="P219" s="279"/>
    </row>
    <row r="220" spans="1:16" ht="46.5" customHeight="1">
      <c r="A220" s="9">
        <v>210</v>
      </c>
      <c r="B220" s="200"/>
      <c r="C220" s="206" t="s">
        <v>751</v>
      </c>
      <c r="D220" s="203" t="s">
        <v>221</v>
      </c>
      <c r="E220" s="204">
        <v>34</v>
      </c>
      <c r="F220" s="201">
        <v>1</v>
      </c>
      <c r="G220" s="204" t="s">
        <v>70</v>
      </c>
      <c r="H220" s="206"/>
      <c r="I220" s="206"/>
      <c r="J220" s="204"/>
      <c r="K220" s="207"/>
      <c r="L220" s="204"/>
      <c r="M220" s="330"/>
      <c r="N220" s="278"/>
      <c r="O220" s="278"/>
      <c r="P220" s="279"/>
    </row>
    <row r="221" spans="1:16" ht="46.5" customHeight="1">
      <c r="A221" s="9">
        <v>210</v>
      </c>
      <c r="B221" s="200"/>
      <c r="C221" s="329" t="s">
        <v>874</v>
      </c>
      <c r="D221" s="203" t="s">
        <v>1084</v>
      </c>
      <c r="E221" s="204">
        <v>45</v>
      </c>
      <c r="F221" s="201">
        <v>1</v>
      </c>
      <c r="G221" s="204" t="s">
        <v>70</v>
      </c>
      <c r="H221" s="206"/>
      <c r="I221" s="206"/>
      <c r="J221" s="204"/>
      <c r="K221" s="207"/>
      <c r="L221" s="204"/>
      <c r="M221" s="330"/>
      <c r="N221" s="278"/>
      <c r="O221" s="278"/>
      <c r="P221" s="279"/>
    </row>
    <row r="222" spans="1:16" ht="46.5" customHeight="1">
      <c r="A222" s="9">
        <v>211</v>
      </c>
      <c r="B222" s="200"/>
      <c r="C222" s="329" t="s">
        <v>873</v>
      </c>
      <c r="D222" s="184" t="s">
        <v>210</v>
      </c>
      <c r="E222" s="182">
        <v>46</v>
      </c>
      <c r="F222" s="201">
        <v>4</v>
      </c>
      <c r="G222" s="182" t="s">
        <v>70</v>
      </c>
      <c r="H222" s="206"/>
      <c r="I222" s="206"/>
      <c r="J222" s="204"/>
      <c r="K222" s="207"/>
      <c r="L222" s="204"/>
      <c r="M222" s="330"/>
      <c r="N222" s="278"/>
      <c r="O222" s="278"/>
      <c r="P222" s="279"/>
    </row>
  </sheetData>
  <mergeCells count="39">
    <mergeCell ref="M139:P139"/>
    <mergeCell ref="M169:P169"/>
    <mergeCell ref="A8:A9"/>
    <mergeCell ref="B8:B9"/>
    <mergeCell ref="D8:D9"/>
    <mergeCell ref="C8:C9"/>
    <mergeCell ref="J8:L8"/>
    <mergeCell ref="H8:H9"/>
    <mergeCell ref="G8:G9"/>
    <mergeCell ref="I8:I9"/>
    <mergeCell ref="M8:P9"/>
    <mergeCell ref="E8:E9"/>
    <mergeCell ref="F8:F9"/>
    <mergeCell ref="L6:M6"/>
    <mergeCell ref="L7:M7"/>
    <mergeCell ref="C2:C3"/>
    <mergeCell ref="J6:K6"/>
    <mergeCell ref="A4:A7"/>
    <mergeCell ref="C4:C5"/>
    <mergeCell ref="A2:A3"/>
    <mergeCell ref="B2:B3"/>
    <mergeCell ref="C6:C7"/>
    <mergeCell ref="B5:B6"/>
    <mergeCell ref="P1:P4"/>
    <mergeCell ref="B1:O1"/>
    <mergeCell ref="J2:K2"/>
    <mergeCell ref="L2:M2"/>
    <mergeCell ref="J3:K3"/>
    <mergeCell ref="L3:M3"/>
    <mergeCell ref="J4:K5"/>
    <mergeCell ref="E2:E3"/>
    <mergeCell ref="F2:H3"/>
    <mergeCell ref="E4:E7"/>
    <mergeCell ref="F4:H7"/>
    <mergeCell ref="D2:D3"/>
    <mergeCell ref="D4:D5"/>
    <mergeCell ref="D6:D7"/>
    <mergeCell ref="J7:K7"/>
    <mergeCell ref="L4:M5"/>
  </mergeCells>
  <phoneticPr fontId="57" type="noConversion"/>
  <pageMargins left="0.70866141732283472" right="0.70866141732283472" top="0.74803149606299213" bottom="0.74803149606299213" header="0.31496062992125984" footer="0.31496062992125984"/>
  <pageSetup paperSize="9" scale="55" fitToWidth="0" orientation="landscape" r:id="rId1"/>
  <headerFooter>
    <oddHeader>&amp;L&amp;14 &amp;11
                     &amp;"GE Inspira,Regular"&amp;P / &amp;N</oddHeader>
    <oddFooter xml:space="preserve">&amp;L&amp;"GE Inspira,Regular"&amp;12                                                     
Hazırlayan:    Halit KAPLAN
&amp;9Prapared by:
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57D9-6BC8-4127-BAA7-965AA49FBAF0}">
  <sheetPr codeName="Sheet5"/>
  <dimension ref="A1:P60"/>
  <sheetViews>
    <sheetView zoomScale="85" zoomScaleNormal="85" workbookViewId="0">
      <selection activeCell="J9" sqref="J9"/>
    </sheetView>
  </sheetViews>
  <sheetFormatPr defaultRowHeight="15"/>
  <cols>
    <col min="1" max="1" width="6.85546875" customWidth="1"/>
    <col min="2" max="2" width="15.28515625" customWidth="1"/>
    <col min="3" max="3" width="20" customWidth="1"/>
    <col min="4" max="4" width="47.5703125" bestFit="1" customWidth="1"/>
    <col min="7" max="7" width="10.42578125" customWidth="1"/>
    <col min="8" max="8" width="12.7109375" customWidth="1"/>
    <col min="9" max="9" width="14.28515625" customWidth="1"/>
    <col min="10" max="10" width="12.7109375" style="309" customWidth="1"/>
    <col min="11" max="11" width="14" style="309" bestFit="1" customWidth="1"/>
    <col min="12" max="12" width="11.5703125" style="309" customWidth="1"/>
    <col min="13" max="13" width="10.42578125" style="303" bestFit="1" customWidth="1"/>
    <col min="14" max="14" width="10.85546875" style="303" bestFit="1" customWidth="1"/>
    <col min="15" max="15" width="8.5703125" style="303" customWidth="1"/>
    <col min="16" max="16" width="21.7109375" style="303" customWidth="1"/>
  </cols>
  <sheetData>
    <row r="1" spans="1:16" ht="40.5" customHeight="1">
      <c r="A1" s="6"/>
      <c r="B1" s="511" t="s">
        <v>0</v>
      </c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2"/>
      <c r="P1" s="513"/>
    </row>
    <row r="2" spans="1:16" ht="15" customHeight="1">
      <c r="A2" s="516" t="s">
        <v>16</v>
      </c>
      <c r="B2" s="518">
        <f>'ÇALIŞMA SAYFASI'!C2</f>
        <v>46049</v>
      </c>
      <c r="C2" s="503" t="s">
        <v>11</v>
      </c>
      <c r="D2" s="505" t="str">
        <f>'ÇALIŞMA SAYFASI'!E2</f>
        <v>PA600-44&amp;53</v>
      </c>
      <c r="E2" s="503" t="s">
        <v>14</v>
      </c>
      <c r="F2" s="505" t="str">
        <f>'ÇALIŞMA SAYFASI'!G2</f>
        <v>SONELGAZ</v>
      </c>
      <c r="G2" s="505"/>
      <c r="H2" s="505"/>
      <c r="I2" s="1"/>
      <c r="J2" s="534" t="s">
        <v>526</v>
      </c>
      <c r="K2" s="535"/>
      <c r="L2" s="526" t="str">
        <f>'ÇALIŞMA SAYFASI'!M2</f>
        <v>T01140490</v>
      </c>
      <c r="M2" s="527"/>
      <c r="N2" s="1"/>
      <c r="O2" s="1"/>
      <c r="P2" s="514"/>
    </row>
    <row r="3" spans="1:16">
      <c r="A3" s="517"/>
      <c r="B3" s="519"/>
      <c r="C3" s="540"/>
      <c r="D3" s="541"/>
      <c r="E3" s="540"/>
      <c r="F3" s="541"/>
      <c r="G3" s="541"/>
      <c r="H3" s="541"/>
      <c r="I3" s="1"/>
      <c r="J3" s="534" t="s">
        <v>416</v>
      </c>
      <c r="K3" s="535"/>
      <c r="L3" s="526" t="str">
        <f>'ÇALIŞMA SAYFASI'!M3</f>
        <v>T01128380</v>
      </c>
      <c r="M3" s="527"/>
      <c r="N3" s="1"/>
      <c r="O3" s="1"/>
      <c r="P3" s="514"/>
    </row>
    <row r="4" spans="1:16" ht="15" customHeight="1">
      <c r="A4" s="546" t="s">
        <v>25</v>
      </c>
      <c r="B4" s="1"/>
      <c r="C4" s="540" t="s">
        <v>12</v>
      </c>
      <c r="D4" s="541">
        <f>'ÇALIŞMA SAYFASI'!E4</f>
        <v>120</v>
      </c>
      <c r="E4" s="542" t="s">
        <v>15</v>
      </c>
      <c r="F4" s="541" t="str">
        <f>'ÇALIŞMA SAYFASI'!G4</f>
        <v>ALGERIA</v>
      </c>
      <c r="G4" s="541"/>
      <c r="H4" s="541"/>
      <c r="I4" s="1"/>
      <c r="J4" s="536" t="s">
        <v>20</v>
      </c>
      <c r="K4" s="537"/>
      <c r="L4" s="520" t="str">
        <f>'ÇALIŞMA SAYFASI'!M4</f>
        <v>T01128371</v>
      </c>
      <c r="M4" s="522"/>
      <c r="N4" s="1"/>
      <c r="O4" s="10"/>
      <c r="P4" s="515"/>
    </row>
    <row r="5" spans="1:16" ht="15" customHeight="1">
      <c r="A5" s="547"/>
      <c r="B5" s="549"/>
      <c r="C5" s="540"/>
      <c r="D5" s="541"/>
      <c r="E5" s="542"/>
      <c r="F5" s="541"/>
      <c r="G5" s="541"/>
      <c r="H5" s="541"/>
      <c r="I5" s="1"/>
      <c r="J5" s="538"/>
      <c r="K5" s="539"/>
      <c r="L5" s="523"/>
      <c r="M5" s="525"/>
      <c r="N5" s="1"/>
      <c r="O5" s="10"/>
      <c r="P5" s="4"/>
    </row>
    <row r="6" spans="1:16" ht="15" customHeight="1">
      <c r="A6" s="547"/>
      <c r="B6" s="549"/>
      <c r="C6" s="540" t="s">
        <v>13</v>
      </c>
      <c r="D6" s="541">
        <f>'ÇALIŞMA SAYFASI'!E6</f>
        <v>220</v>
      </c>
      <c r="E6" s="542"/>
      <c r="F6" s="541"/>
      <c r="G6" s="541"/>
      <c r="H6" s="541"/>
      <c r="I6" s="1"/>
      <c r="J6" s="543" t="s">
        <v>21</v>
      </c>
      <c r="K6" s="544"/>
      <c r="L6" s="506"/>
      <c r="M6" s="507"/>
      <c r="N6" s="256" t="s">
        <v>23</v>
      </c>
      <c r="O6" s="8"/>
      <c r="P6" s="4"/>
    </row>
    <row r="7" spans="1:16">
      <c r="A7" s="548"/>
      <c r="B7" s="2"/>
      <c r="C7" s="540"/>
      <c r="D7" s="541"/>
      <c r="E7" s="542"/>
      <c r="F7" s="541"/>
      <c r="G7" s="541"/>
      <c r="H7" s="541"/>
      <c r="I7" s="2"/>
      <c r="J7" s="543" t="s">
        <v>22</v>
      </c>
      <c r="K7" s="544"/>
      <c r="L7" s="545"/>
      <c r="M7" s="510"/>
      <c r="N7" s="256" t="s">
        <v>24</v>
      </c>
      <c r="O7" s="8"/>
      <c r="P7" s="4"/>
    </row>
    <row r="8" spans="1:16" ht="30" customHeight="1">
      <c r="A8" s="528" t="s">
        <v>18</v>
      </c>
      <c r="B8" s="553" t="s">
        <v>19</v>
      </c>
      <c r="C8" s="542" t="s">
        <v>17</v>
      </c>
      <c r="D8" s="554" t="s">
        <v>1</v>
      </c>
      <c r="E8" s="554" t="s">
        <v>6</v>
      </c>
      <c r="F8" s="554" t="s">
        <v>3</v>
      </c>
      <c r="G8" s="554" t="s">
        <v>5</v>
      </c>
      <c r="H8" s="555" t="s">
        <v>391</v>
      </c>
      <c r="I8" s="555" t="s">
        <v>390</v>
      </c>
      <c r="J8" s="554" t="s">
        <v>7</v>
      </c>
      <c r="K8" s="554"/>
      <c r="L8" s="554"/>
      <c r="M8" s="554" t="s">
        <v>10</v>
      </c>
      <c r="N8" s="554"/>
      <c r="O8" s="554"/>
      <c r="P8" s="554"/>
    </row>
    <row r="9" spans="1:16" ht="34.5" customHeight="1">
      <c r="A9" s="530"/>
      <c r="B9" s="553"/>
      <c r="C9" s="542"/>
      <c r="D9" s="554"/>
      <c r="E9" s="554"/>
      <c r="F9" s="554"/>
      <c r="G9" s="554"/>
      <c r="H9" s="542"/>
      <c r="I9" s="542"/>
      <c r="J9" s="11" t="s">
        <v>8</v>
      </c>
      <c r="K9" s="11" t="s">
        <v>532</v>
      </c>
      <c r="L9" s="11" t="s">
        <v>9</v>
      </c>
      <c r="M9" s="554"/>
      <c r="N9" s="554"/>
      <c r="O9" s="554"/>
      <c r="P9" s="554"/>
    </row>
    <row r="10" spans="1:16" ht="47.1" customHeight="1">
      <c r="A10" s="9">
        <v>1</v>
      </c>
      <c r="B10" s="200" t="s">
        <v>643</v>
      </c>
      <c r="C10" s="200" t="s">
        <v>644</v>
      </c>
      <c r="D10" s="184" t="s">
        <v>645</v>
      </c>
      <c r="E10" s="182">
        <v>24</v>
      </c>
      <c r="F10" s="201">
        <v>3</v>
      </c>
      <c r="G10" s="182" t="s">
        <v>646</v>
      </c>
      <c r="H10" s="182"/>
      <c r="I10" s="182"/>
      <c r="J10" s="304"/>
      <c r="K10" s="305"/>
      <c r="L10" s="304"/>
      <c r="M10" s="297"/>
      <c r="N10" s="298"/>
      <c r="O10" s="298"/>
      <c r="P10" s="299"/>
    </row>
    <row r="11" spans="1:16" ht="47.1" customHeight="1">
      <c r="A11" s="9">
        <v>2</v>
      </c>
      <c r="B11" s="200" t="s">
        <v>647</v>
      </c>
      <c r="C11" s="200" t="s">
        <v>644</v>
      </c>
      <c r="D11" s="203" t="s">
        <v>645</v>
      </c>
      <c r="E11" s="204">
        <v>24</v>
      </c>
      <c r="F11" s="201">
        <v>1</v>
      </c>
      <c r="G11" s="204" t="s">
        <v>646</v>
      </c>
      <c r="H11" s="200"/>
      <c r="I11" s="200"/>
      <c r="J11" s="304"/>
      <c r="K11" s="305"/>
      <c r="L11" s="304"/>
      <c r="M11" s="300"/>
      <c r="N11" s="301"/>
      <c r="O11" s="301"/>
      <c r="P11" s="302"/>
    </row>
    <row r="12" spans="1:16" ht="47.1" customHeight="1">
      <c r="A12" s="9">
        <v>3</v>
      </c>
      <c r="B12" s="200" t="s">
        <v>648</v>
      </c>
      <c r="C12" s="200" t="s">
        <v>649</v>
      </c>
      <c r="D12" s="203" t="s">
        <v>650</v>
      </c>
      <c r="E12" s="204">
        <v>24</v>
      </c>
      <c r="F12" s="201">
        <v>8</v>
      </c>
      <c r="G12" s="204" t="s">
        <v>646</v>
      </c>
      <c r="H12" s="200"/>
      <c r="I12" s="200"/>
      <c r="J12" s="304"/>
      <c r="K12" s="305"/>
      <c r="L12" s="304"/>
      <c r="M12" s="300"/>
      <c r="N12" s="301"/>
      <c r="O12" s="301"/>
      <c r="P12" s="302"/>
    </row>
    <row r="13" spans="1:16" ht="47.1" customHeight="1">
      <c r="A13" s="9">
        <v>4</v>
      </c>
      <c r="B13" s="200" t="s">
        <v>651</v>
      </c>
      <c r="C13" s="200" t="s">
        <v>652</v>
      </c>
      <c r="D13" s="203" t="s">
        <v>653</v>
      </c>
      <c r="E13" s="204">
        <v>24</v>
      </c>
      <c r="F13" s="201">
        <v>1</v>
      </c>
      <c r="G13" s="204" t="s">
        <v>646</v>
      </c>
      <c r="H13" s="200"/>
      <c r="I13" s="200"/>
      <c r="J13" s="304"/>
      <c r="K13" s="305"/>
      <c r="L13" s="304"/>
      <c r="M13" s="300"/>
      <c r="N13" s="301"/>
      <c r="O13" s="301"/>
      <c r="P13" s="302"/>
    </row>
    <row r="14" spans="1:16" ht="47.1" customHeight="1">
      <c r="A14" s="9">
        <v>5</v>
      </c>
      <c r="B14" s="184" t="s">
        <v>654</v>
      </c>
      <c r="C14" s="327" t="s">
        <v>655</v>
      </c>
      <c r="D14" s="184" t="s">
        <v>656</v>
      </c>
      <c r="E14" s="182">
        <v>24</v>
      </c>
      <c r="F14" s="201">
        <v>1</v>
      </c>
      <c r="G14" s="182" t="s">
        <v>646</v>
      </c>
      <c r="H14" s="200"/>
      <c r="I14" s="200"/>
      <c r="J14" s="304"/>
      <c r="K14" s="305"/>
      <c r="L14" s="304"/>
      <c r="M14" s="300"/>
      <c r="N14" s="301"/>
      <c r="O14" s="301"/>
      <c r="P14" s="302"/>
    </row>
    <row r="15" spans="1:16" ht="47.1" customHeight="1">
      <c r="A15" s="9">
        <v>6</v>
      </c>
      <c r="B15" s="200" t="s">
        <v>657</v>
      </c>
      <c r="C15" s="183" t="s">
        <v>658</v>
      </c>
      <c r="D15" s="203" t="s">
        <v>659</v>
      </c>
      <c r="E15" s="182">
        <v>24</v>
      </c>
      <c r="F15" s="201">
        <v>2</v>
      </c>
      <c r="G15" s="204" t="s">
        <v>646</v>
      </c>
      <c r="H15" s="200"/>
      <c r="I15" s="200"/>
      <c r="J15" s="304"/>
      <c r="K15" s="305"/>
      <c r="L15" s="304"/>
      <c r="M15" s="300"/>
      <c r="N15" s="301"/>
      <c r="O15" s="301"/>
      <c r="P15" s="302"/>
    </row>
    <row r="16" spans="1:16" ht="47.1" customHeight="1">
      <c r="A16" s="9">
        <v>7</v>
      </c>
      <c r="B16" s="200" t="s">
        <v>660</v>
      </c>
      <c r="C16" s="183" t="s">
        <v>661</v>
      </c>
      <c r="D16" s="184" t="s">
        <v>662</v>
      </c>
      <c r="E16" s="182">
        <v>24</v>
      </c>
      <c r="F16" s="201">
        <v>1</v>
      </c>
      <c r="G16" s="182" t="s">
        <v>646</v>
      </c>
      <c r="H16" s="200"/>
      <c r="I16" s="200"/>
      <c r="J16" s="304"/>
      <c r="K16" s="305"/>
      <c r="L16" s="304"/>
      <c r="M16" s="300"/>
      <c r="N16" s="301"/>
      <c r="O16" s="301"/>
      <c r="P16" s="302"/>
    </row>
    <row r="17" spans="1:16" ht="47.1" customHeight="1">
      <c r="A17" s="9">
        <v>8</v>
      </c>
      <c r="B17" s="200" t="s">
        <v>663</v>
      </c>
      <c r="C17" s="200" t="s">
        <v>426</v>
      </c>
      <c r="D17" s="184" t="s">
        <v>664</v>
      </c>
      <c r="E17" s="182">
        <v>24</v>
      </c>
      <c r="F17" s="201">
        <v>56</v>
      </c>
      <c r="G17" s="182" t="s">
        <v>646</v>
      </c>
      <c r="H17" s="200"/>
      <c r="I17" s="200"/>
      <c r="J17" s="304"/>
      <c r="K17" s="305"/>
      <c r="L17" s="304"/>
      <c r="M17" s="300"/>
      <c r="N17" s="301"/>
      <c r="O17" s="301"/>
      <c r="P17" s="302"/>
    </row>
    <row r="18" spans="1:16" ht="47.1" customHeight="1">
      <c r="A18" s="9">
        <v>9</v>
      </c>
      <c r="B18" s="200" t="s">
        <v>665</v>
      </c>
      <c r="C18" s="200" t="s">
        <v>666</v>
      </c>
      <c r="D18" s="184" t="s">
        <v>667</v>
      </c>
      <c r="E18" s="182">
        <v>24</v>
      </c>
      <c r="F18" s="201">
        <v>10</v>
      </c>
      <c r="G18" s="182" t="s">
        <v>668</v>
      </c>
      <c r="H18" s="200"/>
      <c r="I18" s="200"/>
      <c r="J18" s="304"/>
      <c r="K18" s="305"/>
      <c r="L18" s="304"/>
      <c r="M18" s="300"/>
      <c r="N18" s="301"/>
      <c r="O18" s="301"/>
      <c r="P18" s="302"/>
    </row>
    <row r="19" spans="1:16" ht="47.1" customHeight="1">
      <c r="A19" s="9">
        <v>10</v>
      </c>
      <c r="B19" s="200" t="s">
        <v>669</v>
      </c>
      <c r="C19" s="200" t="s">
        <v>427</v>
      </c>
      <c r="D19" s="184" t="s">
        <v>670</v>
      </c>
      <c r="E19" s="204">
        <v>24</v>
      </c>
      <c r="F19" s="201">
        <v>28</v>
      </c>
      <c r="G19" s="182" t="s">
        <v>646</v>
      </c>
      <c r="H19" s="200"/>
      <c r="I19" s="200"/>
      <c r="J19" s="304"/>
      <c r="K19" s="306"/>
      <c r="L19" s="304"/>
      <c r="M19" s="300"/>
      <c r="N19" s="301"/>
      <c r="O19" s="301"/>
      <c r="P19" s="302"/>
    </row>
    <row r="20" spans="1:16" ht="47.1" customHeight="1">
      <c r="A20" s="9">
        <v>11</v>
      </c>
      <c r="B20" s="200" t="s">
        <v>671</v>
      </c>
      <c r="C20" s="200" t="s">
        <v>672</v>
      </c>
      <c r="D20" s="184" t="s">
        <v>673</v>
      </c>
      <c r="E20" s="204">
        <v>24</v>
      </c>
      <c r="F20" s="201">
        <v>25</v>
      </c>
      <c r="G20" s="182" t="s">
        <v>646</v>
      </c>
      <c r="H20" s="200"/>
      <c r="I20" s="200"/>
      <c r="J20" s="304"/>
      <c r="K20" s="306"/>
      <c r="L20" s="304"/>
      <c r="M20" s="300"/>
      <c r="N20" s="301"/>
      <c r="O20" s="301"/>
      <c r="P20" s="302"/>
    </row>
    <row r="21" spans="1:16" ht="47.1" customHeight="1">
      <c r="A21" s="9">
        <v>12</v>
      </c>
      <c r="B21" s="200" t="s">
        <v>674</v>
      </c>
      <c r="C21" s="200" t="s">
        <v>675</v>
      </c>
      <c r="D21" s="184" t="s">
        <v>676</v>
      </c>
      <c r="E21" s="204">
        <v>24</v>
      </c>
      <c r="F21" s="201">
        <v>25</v>
      </c>
      <c r="G21" s="182" t="s">
        <v>646</v>
      </c>
      <c r="H21" s="200"/>
      <c r="I21" s="200"/>
      <c r="J21" s="304"/>
      <c r="K21" s="306"/>
      <c r="L21" s="304"/>
      <c r="M21" s="300"/>
      <c r="N21" s="301"/>
      <c r="O21" s="301"/>
      <c r="P21" s="302"/>
    </row>
    <row r="22" spans="1:16" ht="47.1" customHeight="1">
      <c r="A22" s="9">
        <v>13</v>
      </c>
      <c r="B22" s="200" t="s">
        <v>677</v>
      </c>
      <c r="C22" s="200" t="s">
        <v>678</v>
      </c>
      <c r="D22" s="184" t="s">
        <v>679</v>
      </c>
      <c r="E22" s="204">
        <v>24</v>
      </c>
      <c r="F22" s="201">
        <v>25</v>
      </c>
      <c r="G22" s="182" t="s">
        <v>646</v>
      </c>
      <c r="H22" s="200"/>
      <c r="I22" s="200"/>
      <c r="J22" s="304"/>
      <c r="K22" s="306"/>
      <c r="L22" s="304"/>
      <c r="M22" s="300"/>
      <c r="N22" s="301"/>
      <c r="O22" s="301"/>
      <c r="P22" s="302"/>
    </row>
    <row r="23" spans="1:16" ht="47.1" customHeight="1">
      <c r="A23" s="9">
        <v>14</v>
      </c>
      <c r="B23" s="200" t="s">
        <v>680</v>
      </c>
      <c r="C23" s="200" t="s">
        <v>681</v>
      </c>
      <c r="D23" s="184" t="s">
        <v>682</v>
      </c>
      <c r="E23" s="204">
        <v>24</v>
      </c>
      <c r="F23" s="201">
        <v>25</v>
      </c>
      <c r="G23" s="182" t="s">
        <v>646</v>
      </c>
      <c r="H23" s="200"/>
      <c r="I23" s="200"/>
      <c r="J23" s="304"/>
      <c r="K23" s="306"/>
      <c r="L23" s="304"/>
      <c r="M23" s="300"/>
      <c r="N23" s="301"/>
      <c r="O23" s="301"/>
      <c r="P23" s="302"/>
    </row>
    <row r="24" spans="1:16" ht="47.1" customHeight="1">
      <c r="A24" s="9">
        <v>15</v>
      </c>
      <c r="B24" s="206" t="s">
        <v>683</v>
      </c>
      <c r="C24" s="206" t="s">
        <v>684</v>
      </c>
      <c r="D24" s="203" t="s">
        <v>685</v>
      </c>
      <c r="E24" s="204">
        <v>24</v>
      </c>
      <c r="F24" s="201">
        <v>10</v>
      </c>
      <c r="G24" s="204" t="s">
        <v>646</v>
      </c>
      <c r="H24" s="206"/>
      <c r="I24" s="206"/>
      <c r="J24" s="307"/>
      <c r="K24" s="308"/>
      <c r="L24" s="307"/>
      <c r="M24" s="300"/>
      <c r="N24" s="301"/>
      <c r="O24" s="301"/>
      <c r="P24" s="302"/>
    </row>
    <row r="25" spans="1:16" ht="47.1" customHeight="1">
      <c r="A25" s="9">
        <v>16</v>
      </c>
      <c r="B25" s="200" t="s">
        <v>686</v>
      </c>
      <c r="C25" s="200" t="s">
        <v>687</v>
      </c>
      <c r="D25" s="184" t="s">
        <v>688</v>
      </c>
      <c r="E25" s="182">
        <v>24</v>
      </c>
      <c r="F25" s="201">
        <v>4</v>
      </c>
      <c r="G25" s="182" t="s">
        <v>646</v>
      </c>
      <c r="H25" s="200"/>
      <c r="I25" s="200"/>
      <c r="J25" s="304"/>
      <c r="K25" s="305"/>
      <c r="L25" s="304"/>
      <c r="M25" s="300"/>
      <c r="N25" s="301"/>
      <c r="O25" s="301"/>
      <c r="P25" s="302"/>
    </row>
    <row r="26" spans="1:16" ht="47.1" customHeight="1">
      <c r="A26" s="9">
        <v>17</v>
      </c>
      <c r="B26" s="200"/>
      <c r="C26" s="200"/>
      <c r="D26" s="184"/>
      <c r="E26" s="182"/>
      <c r="F26" s="201"/>
      <c r="G26" s="182"/>
      <c r="H26" s="200"/>
      <c r="I26" s="200"/>
      <c r="J26" s="304"/>
      <c r="K26" s="305"/>
      <c r="L26" s="304"/>
      <c r="M26" s="300"/>
      <c r="N26" s="301"/>
      <c r="O26" s="301"/>
      <c r="P26" s="302"/>
    </row>
    <row r="27" spans="1:16" ht="47.1" customHeight="1">
      <c r="A27" s="9">
        <v>18</v>
      </c>
      <c r="B27" s="200"/>
      <c r="C27" s="200"/>
      <c r="D27" s="184"/>
      <c r="E27" s="182"/>
      <c r="F27" s="201"/>
      <c r="G27" s="182"/>
      <c r="H27" s="200"/>
      <c r="I27" s="200"/>
      <c r="J27" s="304"/>
      <c r="K27" s="305"/>
      <c r="L27" s="304"/>
      <c r="M27" s="300"/>
      <c r="N27" s="301"/>
      <c r="O27" s="301"/>
      <c r="P27" s="302"/>
    </row>
    <row r="28" spans="1:16" ht="47.1" customHeight="1">
      <c r="A28" s="9">
        <v>19</v>
      </c>
      <c r="B28" s="200"/>
      <c r="C28" s="200"/>
      <c r="D28" s="363" t="s">
        <v>1063</v>
      </c>
      <c r="E28" s="182"/>
      <c r="F28" s="201"/>
      <c r="G28" s="182"/>
      <c r="H28" s="200"/>
      <c r="I28" s="200"/>
      <c r="J28" s="304"/>
      <c r="K28" s="305"/>
      <c r="L28" s="304"/>
      <c r="M28" s="300"/>
      <c r="N28" s="301"/>
      <c r="O28" s="301"/>
      <c r="P28" s="302"/>
    </row>
    <row r="29" spans="1:16" ht="47.1" customHeight="1">
      <c r="A29" s="9">
        <v>20</v>
      </c>
      <c r="B29" s="200"/>
      <c r="C29" s="200" t="s">
        <v>428</v>
      </c>
      <c r="D29" s="184" t="s">
        <v>935</v>
      </c>
      <c r="E29" s="182">
        <v>24</v>
      </c>
      <c r="F29" s="201">
        <v>1</v>
      </c>
      <c r="G29" s="182" t="s">
        <v>646</v>
      </c>
      <c r="H29" s="200"/>
      <c r="I29" s="200"/>
      <c r="J29" s="304"/>
      <c r="K29" s="305"/>
      <c r="L29" s="304"/>
      <c r="M29" s="373" t="s">
        <v>1068</v>
      </c>
      <c r="N29" s="301"/>
      <c r="O29" s="301"/>
      <c r="P29" s="302"/>
    </row>
    <row r="30" spans="1:16" ht="47.1" customHeight="1">
      <c r="A30" s="9">
        <v>21</v>
      </c>
      <c r="B30" s="200"/>
      <c r="C30" s="200" t="s">
        <v>997</v>
      </c>
      <c r="D30" s="184" t="s">
        <v>998</v>
      </c>
      <c r="E30" s="182">
        <v>24</v>
      </c>
      <c r="F30" s="374">
        <v>1</v>
      </c>
      <c r="G30" s="182" t="s">
        <v>646</v>
      </c>
      <c r="H30" s="200"/>
      <c r="I30" s="200"/>
      <c r="J30" s="304"/>
      <c r="K30" s="305"/>
      <c r="L30" s="304"/>
      <c r="M30" s="300"/>
      <c r="N30" s="301"/>
      <c r="O30" s="301"/>
      <c r="P30" s="302"/>
    </row>
    <row r="31" spans="1:16" ht="47.1" customHeight="1">
      <c r="A31" s="9">
        <v>22</v>
      </c>
      <c r="B31" s="200"/>
      <c r="C31" s="200" t="s">
        <v>427</v>
      </c>
      <c r="D31" s="184" t="s">
        <v>670</v>
      </c>
      <c r="E31" s="182">
        <v>24</v>
      </c>
      <c r="F31" s="201">
        <v>28</v>
      </c>
      <c r="G31" s="182" t="s">
        <v>646</v>
      </c>
      <c r="H31" s="200"/>
      <c r="I31" s="200"/>
      <c r="J31" s="304"/>
      <c r="K31" s="305"/>
      <c r="L31" s="304"/>
      <c r="M31" s="300"/>
      <c r="N31" s="301"/>
      <c r="O31" s="301"/>
      <c r="P31" s="302"/>
    </row>
    <row r="32" spans="1:16" ht="47.1" customHeight="1">
      <c r="A32" s="9">
        <v>23</v>
      </c>
      <c r="B32" s="200"/>
      <c r="C32" s="200" t="s">
        <v>681</v>
      </c>
      <c r="D32" s="184" t="s">
        <v>682</v>
      </c>
      <c r="E32" s="182">
        <v>24</v>
      </c>
      <c r="F32" s="201">
        <v>10</v>
      </c>
      <c r="G32" s="182" t="s">
        <v>646</v>
      </c>
      <c r="H32" s="200"/>
      <c r="I32" s="200"/>
      <c r="J32" s="304"/>
      <c r="K32" s="305"/>
      <c r="L32" s="304"/>
      <c r="M32" s="300"/>
      <c r="N32" s="301"/>
      <c r="O32" s="301"/>
      <c r="P32" s="302"/>
    </row>
    <row r="33" spans="1:16" ht="47.1" customHeight="1">
      <c r="A33" s="9">
        <v>24</v>
      </c>
      <c r="B33" s="200"/>
      <c r="C33" s="200" t="s">
        <v>672</v>
      </c>
      <c r="D33" s="184" t="s">
        <v>673</v>
      </c>
      <c r="E33" s="182">
        <v>24</v>
      </c>
      <c r="F33" s="201">
        <v>36</v>
      </c>
      <c r="G33" s="182" t="s">
        <v>646</v>
      </c>
      <c r="H33" s="200"/>
      <c r="I33" s="200"/>
      <c r="J33" s="304"/>
      <c r="K33" s="305"/>
      <c r="L33" s="304"/>
      <c r="M33" s="300"/>
      <c r="N33" s="301"/>
      <c r="O33" s="301"/>
      <c r="P33" s="302"/>
    </row>
    <row r="34" spans="1:16" ht="47.1" customHeight="1">
      <c r="A34" s="9">
        <v>25</v>
      </c>
      <c r="B34" s="200"/>
      <c r="C34" s="200" t="s">
        <v>675</v>
      </c>
      <c r="D34" s="184" t="s">
        <v>676</v>
      </c>
      <c r="E34" s="182">
        <v>24</v>
      </c>
      <c r="F34" s="201">
        <v>12</v>
      </c>
      <c r="G34" s="182" t="s">
        <v>646</v>
      </c>
      <c r="H34" s="200"/>
      <c r="I34" s="200"/>
      <c r="J34" s="304"/>
      <c r="K34" s="305"/>
      <c r="L34" s="304"/>
      <c r="M34" s="300"/>
      <c r="N34" s="301"/>
      <c r="O34" s="301"/>
      <c r="P34" s="302"/>
    </row>
    <row r="35" spans="1:16" ht="47.1" customHeight="1">
      <c r="A35" s="9">
        <v>26</v>
      </c>
      <c r="B35" s="200"/>
      <c r="C35" s="200" t="s">
        <v>678</v>
      </c>
      <c r="D35" s="184" t="s">
        <v>679</v>
      </c>
      <c r="E35" s="182">
        <v>24</v>
      </c>
      <c r="F35" s="201">
        <v>4</v>
      </c>
      <c r="G35" s="182" t="s">
        <v>646</v>
      </c>
      <c r="H35" s="200"/>
      <c r="I35" s="200"/>
      <c r="J35" s="304"/>
      <c r="K35" s="305"/>
      <c r="L35" s="304"/>
      <c r="M35" s="300"/>
      <c r="N35" s="301"/>
      <c r="O35" s="301"/>
      <c r="P35" s="302"/>
    </row>
    <row r="36" spans="1:16" ht="47.1" customHeight="1">
      <c r="A36" s="9">
        <v>27</v>
      </c>
      <c r="B36" s="200"/>
      <c r="C36" s="200" t="s">
        <v>938</v>
      </c>
      <c r="D36" s="184" t="s">
        <v>939</v>
      </c>
      <c r="E36" s="182">
        <v>24</v>
      </c>
      <c r="F36" s="201">
        <v>2</v>
      </c>
      <c r="G36" s="182" t="s">
        <v>646</v>
      </c>
      <c r="H36" s="200"/>
      <c r="I36" s="200"/>
      <c r="J36" s="304"/>
      <c r="K36" s="305"/>
      <c r="L36" s="304"/>
      <c r="M36" s="300"/>
      <c r="N36" s="301"/>
      <c r="O36" s="301"/>
      <c r="P36" s="302"/>
    </row>
    <row r="37" spans="1:16" ht="47.1" customHeight="1">
      <c r="A37" s="9">
        <v>28</v>
      </c>
      <c r="B37" s="200"/>
      <c r="C37" s="200" t="s">
        <v>942</v>
      </c>
      <c r="D37" s="184" t="s">
        <v>943</v>
      </c>
      <c r="E37" s="182">
        <v>24</v>
      </c>
      <c r="F37" s="201">
        <v>2</v>
      </c>
      <c r="G37" s="182" t="s">
        <v>646</v>
      </c>
      <c r="H37" s="200"/>
      <c r="I37" s="200"/>
      <c r="J37" s="304"/>
      <c r="K37" s="305"/>
      <c r="L37" s="304"/>
      <c r="M37" s="300"/>
      <c r="N37" s="301"/>
      <c r="O37" s="301"/>
      <c r="P37" s="302"/>
    </row>
    <row r="38" spans="1:16" ht="47.1" customHeight="1">
      <c r="A38" s="9">
        <v>29</v>
      </c>
      <c r="B38" s="200"/>
      <c r="C38" s="200"/>
      <c r="D38" s="184"/>
      <c r="E38" s="182"/>
      <c r="F38" s="201"/>
      <c r="G38" s="182"/>
      <c r="H38" s="200"/>
      <c r="I38" s="200"/>
      <c r="J38" s="304"/>
      <c r="K38" s="305"/>
      <c r="L38" s="304"/>
      <c r="M38" s="300"/>
      <c r="N38" s="301"/>
      <c r="O38" s="301"/>
      <c r="P38" s="302"/>
    </row>
    <row r="39" spans="1:16" ht="47.1" customHeight="1">
      <c r="A39" s="9">
        <v>30</v>
      </c>
      <c r="B39" s="200"/>
      <c r="C39" s="200"/>
      <c r="D39" s="184"/>
      <c r="E39" s="182"/>
      <c r="F39" s="201"/>
      <c r="G39" s="182"/>
      <c r="H39" s="200"/>
      <c r="I39" s="200"/>
      <c r="J39" s="304"/>
      <c r="K39" s="305"/>
      <c r="L39" s="304"/>
      <c r="M39" s="300"/>
      <c r="N39" s="301"/>
      <c r="O39" s="301"/>
      <c r="P39" s="302"/>
    </row>
    <row r="40" spans="1:16" ht="47.1" customHeight="1">
      <c r="A40" s="9">
        <v>31</v>
      </c>
      <c r="B40" s="200"/>
      <c r="C40" s="200"/>
      <c r="D40" s="184"/>
      <c r="E40" s="182"/>
      <c r="F40" s="201"/>
      <c r="G40" s="182"/>
      <c r="H40" s="200"/>
      <c r="I40" s="200"/>
      <c r="J40" s="304"/>
      <c r="K40" s="305"/>
      <c r="L40" s="304"/>
      <c r="M40" s="300"/>
      <c r="N40" s="301"/>
      <c r="O40" s="301"/>
      <c r="P40" s="302"/>
    </row>
    <row r="41" spans="1:16" ht="47.1" customHeight="1">
      <c r="A41" s="9">
        <v>32</v>
      </c>
      <c r="B41" s="200"/>
      <c r="C41" s="200"/>
      <c r="D41" s="184"/>
      <c r="E41" s="182"/>
      <c r="F41" s="201"/>
      <c r="G41" s="182"/>
      <c r="H41" s="200"/>
      <c r="I41" s="200"/>
      <c r="J41" s="304"/>
      <c r="K41" s="305"/>
      <c r="L41" s="304"/>
      <c r="M41" s="300"/>
      <c r="N41" s="301"/>
      <c r="O41" s="301"/>
      <c r="P41" s="302"/>
    </row>
    <row r="42" spans="1:16" ht="47.1" customHeight="1">
      <c r="A42" s="9">
        <v>33</v>
      </c>
      <c r="B42" s="200"/>
      <c r="C42" s="200"/>
      <c r="D42" s="184"/>
      <c r="E42" s="182"/>
      <c r="F42" s="201"/>
      <c r="G42" s="204"/>
      <c r="H42" s="200"/>
      <c r="I42" s="200"/>
      <c r="J42" s="304"/>
      <c r="K42" s="305"/>
      <c r="L42" s="304"/>
      <c r="M42" s="300"/>
      <c r="N42" s="301"/>
      <c r="O42" s="301"/>
      <c r="P42" s="302"/>
    </row>
    <row r="43" spans="1:16" ht="47.1" customHeight="1">
      <c r="A43" s="9">
        <v>34</v>
      </c>
      <c r="B43" s="200"/>
      <c r="C43" s="200"/>
      <c r="D43" s="184"/>
      <c r="E43" s="182"/>
      <c r="F43" s="201"/>
      <c r="G43" s="204"/>
      <c r="H43" s="200"/>
      <c r="I43" s="200"/>
      <c r="J43" s="304"/>
      <c r="K43" s="305"/>
      <c r="L43" s="304"/>
      <c r="M43" s="300"/>
      <c r="N43" s="301"/>
      <c r="O43" s="301"/>
      <c r="P43" s="302"/>
    </row>
    <row r="44" spans="1:16" ht="47.1" customHeight="1">
      <c r="A44" s="9">
        <v>35</v>
      </c>
      <c r="B44" s="200"/>
      <c r="C44" s="200" t="s">
        <v>689</v>
      </c>
      <c r="D44" s="184" t="s">
        <v>690</v>
      </c>
      <c r="E44" s="182">
        <v>24</v>
      </c>
      <c r="F44" s="201">
        <v>28</v>
      </c>
      <c r="G44" s="204" t="s">
        <v>646</v>
      </c>
      <c r="H44" s="200"/>
      <c r="I44" s="200"/>
      <c r="J44" s="304"/>
      <c r="K44" s="305"/>
      <c r="L44" s="304"/>
      <c r="M44" s="300"/>
      <c r="N44" s="301"/>
      <c r="O44" s="301"/>
      <c r="P44" s="302"/>
    </row>
    <row r="45" spans="1:16" ht="47.1" customHeight="1">
      <c r="A45" s="9">
        <v>36</v>
      </c>
      <c r="B45" s="200"/>
      <c r="C45" s="205" t="s">
        <v>691</v>
      </c>
      <c r="D45" s="184" t="s">
        <v>692</v>
      </c>
      <c r="E45" s="182">
        <v>24</v>
      </c>
      <c r="F45" s="201">
        <v>14</v>
      </c>
      <c r="G45" s="182" t="s">
        <v>646</v>
      </c>
      <c r="H45" s="200"/>
      <c r="I45" s="200"/>
      <c r="J45" s="304"/>
      <c r="K45" s="305"/>
      <c r="L45" s="304"/>
      <c r="M45" s="300"/>
      <c r="N45" s="301"/>
      <c r="O45" s="301"/>
      <c r="P45" s="302"/>
    </row>
    <row r="46" spans="1:16" ht="47.1" customHeight="1">
      <c r="A46" s="9">
        <v>37</v>
      </c>
      <c r="B46" s="200"/>
      <c r="C46" s="205" t="s">
        <v>693</v>
      </c>
      <c r="D46" s="184" t="s">
        <v>694</v>
      </c>
      <c r="E46" s="182">
        <v>24</v>
      </c>
      <c r="F46" s="201">
        <v>56</v>
      </c>
      <c r="G46" s="182" t="s">
        <v>646</v>
      </c>
      <c r="H46" s="200"/>
      <c r="I46" s="200"/>
      <c r="J46" s="304"/>
      <c r="K46" s="305"/>
      <c r="L46" s="304"/>
      <c r="M46" s="300"/>
      <c r="N46" s="301"/>
      <c r="O46" s="301"/>
      <c r="P46" s="302"/>
    </row>
    <row r="47" spans="1:16" ht="47.1" customHeight="1">
      <c r="A47" s="9">
        <v>38</v>
      </c>
      <c r="B47" s="200"/>
      <c r="C47" s="205" t="s">
        <v>695</v>
      </c>
      <c r="D47" s="184" t="s">
        <v>696</v>
      </c>
      <c r="E47" s="182">
        <v>24</v>
      </c>
      <c r="F47" s="201">
        <v>112</v>
      </c>
      <c r="G47" s="182" t="s">
        <v>646</v>
      </c>
      <c r="H47" s="200"/>
      <c r="I47" s="200"/>
      <c r="J47" s="304"/>
      <c r="K47" s="305"/>
      <c r="L47" s="304"/>
      <c r="M47" s="300"/>
      <c r="N47" s="301"/>
      <c r="O47" s="301"/>
      <c r="P47" s="302"/>
    </row>
    <row r="48" spans="1:16" ht="47.1" customHeight="1">
      <c r="A48" s="9">
        <v>39</v>
      </c>
      <c r="B48" s="200"/>
      <c r="C48" s="205" t="s">
        <v>697</v>
      </c>
      <c r="D48" s="184" t="s">
        <v>698</v>
      </c>
      <c r="E48" s="182">
        <v>24</v>
      </c>
      <c r="F48" s="201">
        <v>56</v>
      </c>
      <c r="G48" s="182" t="s">
        <v>646</v>
      </c>
      <c r="H48" s="200"/>
      <c r="I48" s="200"/>
      <c r="J48" s="304"/>
      <c r="K48" s="305"/>
      <c r="L48" s="304"/>
      <c r="M48" s="300"/>
      <c r="N48" s="301"/>
      <c r="O48" s="301"/>
      <c r="P48" s="302"/>
    </row>
    <row r="49" spans="1:16" ht="47.1" customHeight="1">
      <c r="A49" s="9">
        <v>40</v>
      </c>
      <c r="B49" s="200"/>
      <c r="C49" s="205" t="s">
        <v>699</v>
      </c>
      <c r="D49" s="184" t="s">
        <v>700</v>
      </c>
      <c r="E49" s="182">
        <v>24</v>
      </c>
      <c r="F49" s="201">
        <v>168</v>
      </c>
      <c r="G49" s="182" t="s">
        <v>646</v>
      </c>
      <c r="H49" s="200"/>
      <c r="I49" s="200"/>
      <c r="J49" s="304"/>
      <c r="K49" s="305"/>
      <c r="L49" s="304"/>
      <c r="M49" s="300"/>
      <c r="N49" s="301"/>
      <c r="O49" s="301"/>
      <c r="P49" s="302"/>
    </row>
    <row r="50" spans="1:16" ht="47.1" customHeight="1">
      <c r="A50" s="9">
        <v>41</v>
      </c>
      <c r="B50" s="200"/>
      <c r="C50" s="205" t="s">
        <v>701</v>
      </c>
      <c r="D50" s="184" t="s">
        <v>702</v>
      </c>
      <c r="E50" s="182">
        <v>24</v>
      </c>
      <c r="F50" s="201">
        <v>56</v>
      </c>
      <c r="G50" s="182" t="s">
        <v>646</v>
      </c>
      <c r="H50" s="200"/>
      <c r="I50" s="200"/>
      <c r="J50" s="304"/>
      <c r="K50" s="305"/>
      <c r="L50" s="304"/>
      <c r="M50" s="300"/>
      <c r="N50" s="301"/>
      <c r="O50" s="301"/>
      <c r="P50" s="302"/>
    </row>
    <row r="51" spans="1:16" ht="47.1" customHeight="1">
      <c r="A51" s="9">
        <v>42</v>
      </c>
      <c r="B51" s="200"/>
      <c r="C51" s="205" t="s">
        <v>703</v>
      </c>
      <c r="D51" s="184" t="s">
        <v>704</v>
      </c>
      <c r="E51" s="182">
        <v>24</v>
      </c>
      <c r="F51" s="201">
        <v>112</v>
      </c>
      <c r="G51" s="182" t="s">
        <v>646</v>
      </c>
      <c r="H51" s="200"/>
      <c r="I51" s="200"/>
      <c r="J51" s="304"/>
      <c r="K51" s="305"/>
      <c r="L51" s="304"/>
      <c r="M51" s="300"/>
      <c r="N51" s="301"/>
      <c r="O51" s="301"/>
      <c r="P51" s="302"/>
    </row>
    <row r="52" spans="1:16" ht="47.1" customHeight="1">
      <c r="A52" s="9">
        <v>43</v>
      </c>
      <c r="B52" s="200"/>
      <c r="C52" s="205" t="s">
        <v>705</v>
      </c>
      <c r="D52" s="184" t="s">
        <v>706</v>
      </c>
      <c r="E52" s="182">
        <v>24</v>
      </c>
      <c r="F52" s="201">
        <v>112</v>
      </c>
      <c r="G52" s="182" t="s">
        <v>646</v>
      </c>
      <c r="H52" s="200"/>
      <c r="I52" s="200"/>
      <c r="J52" s="304"/>
      <c r="K52" s="305"/>
      <c r="L52" s="304"/>
      <c r="M52" s="300"/>
      <c r="N52" s="301"/>
      <c r="O52" s="301"/>
      <c r="P52" s="302"/>
    </row>
    <row r="53" spans="1:16" ht="47.1" customHeight="1">
      <c r="A53" s="9">
        <v>44</v>
      </c>
      <c r="B53" s="200"/>
      <c r="C53" s="205" t="s">
        <v>533</v>
      </c>
      <c r="D53" s="184" t="s">
        <v>534</v>
      </c>
      <c r="E53" s="182">
        <v>24</v>
      </c>
      <c r="F53" s="201">
        <v>56</v>
      </c>
      <c r="G53" s="182" t="s">
        <v>646</v>
      </c>
      <c r="H53" s="200"/>
      <c r="I53" s="200"/>
      <c r="J53" s="304"/>
      <c r="K53" s="305"/>
      <c r="L53" s="304"/>
      <c r="M53" s="300"/>
      <c r="N53" s="301"/>
      <c r="O53" s="301"/>
      <c r="P53" s="302"/>
    </row>
    <row r="54" spans="1:16" ht="47.1" customHeight="1">
      <c r="A54" s="9">
        <v>45</v>
      </c>
      <c r="B54" s="200"/>
      <c r="C54" s="205" t="s">
        <v>707</v>
      </c>
      <c r="D54" s="184" t="s">
        <v>708</v>
      </c>
      <c r="E54" s="182">
        <v>24</v>
      </c>
      <c r="F54" s="201">
        <v>56</v>
      </c>
      <c r="G54" s="182" t="s">
        <v>646</v>
      </c>
      <c r="H54" s="200"/>
      <c r="I54" s="200"/>
      <c r="J54" s="304"/>
      <c r="K54" s="305"/>
      <c r="L54" s="304"/>
      <c r="M54" s="300"/>
      <c r="N54" s="301"/>
      <c r="O54" s="301"/>
      <c r="P54" s="302"/>
    </row>
    <row r="55" spans="1:16" ht="47.1" customHeight="1">
      <c r="A55" s="9">
        <v>46</v>
      </c>
      <c r="B55" s="200"/>
      <c r="C55" s="205" t="s">
        <v>709</v>
      </c>
      <c r="D55" s="184" t="s">
        <v>710</v>
      </c>
      <c r="E55" s="182">
        <v>24</v>
      </c>
      <c r="F55" s="201">
        <v>56</v>
      </c>
      <c r="G55" s="182" t="s">
        <v>646</v>
      </c>
      <c r="H55" s="200"/>
      <c r="I55" s="200"/>
      <c r="J55" s="304"/>
      <c r="K55" s="305"/>
      <c r="L55" s="304"/>
      <c r="M55" s="300"/>
      <c r="N55" s="301"/>
      <c r="O55" s="301"/>
      <c r="P55" s="302"/>
    </row>
    <row r="56" spans="1:16" ht="47.1" customHeight="1">
      <c r="A56" s="9"/>
      <c r="B56" s="200"/>
      <c r="C56" s="205"/>
      <c r="D56" s="184"/>
      <c r="E56" s="182"/>
      <c r="F56" s="201"/>
      <c r="G56" s="182"/>
      <c r="H56" s="200"/>
      <c r="I56" s="200"/>
      <c r="J56" s="304"/>
      <c r="K56" s="305"/>
      <c r="L56" s="304"/>
      <c r="M56" s="300"/>
      <c r="N56" s="301"/>
      <c r="O56" s="301"/>
      <c r="P56" s="302"/>
    </row>
    <row r="57" spans="1:16" ht="47.1" customHeight="1">
      <c r="A57" s="9"/>
      <c r="B57" s="200"/>
      <c r="C57" s="205"/>
      <c r="D57" s="184"/>
      <c r="E57" s="182"/>
      <c r="F57" s="201"/>
      <c r="G57" s="182"/>
      <c r="H57" s="200"/>
      <c r="I57" s="200"/>
      <c r="J57" s="304"/>
      <c r="K57" s="305"/>
      <c r="L57" s="304"/>
      <c r="M57" s="300"/>
      <c r="N57" s="301"/>
      <c r="O57" s="301"/>
      <c r="P57" s="302"/>
    </row>
    <row r="58" spans="1:16" ht="47.1" customHeight="1">
      <c r="A58" s="9"/>
      <c r="B58" s="200"/>
      <c r="C58" s="205"/>
      <c r="D58" s="184"/>
      <c r="E58" s="182"/>
      <c r="F58" s="201"/>
      <c r="G58" s="182"/>
      <c r="H58" s="200"/>
      <c r="I58" s="200"/>
      <c r="J58" s="304"/>
      <c r="K58" s="305"/>
      <c r="L58" s="304"/>
      <c r="M58" s="300"/>
      <c r="N58" s="301"/>
      <c r="O58" s="301"/>
      <c r="P58" s="302"/>
    </row>
    <row r="59" spans="1:16" ht="47.1" customHeight="1">
      <c r="A59" s="9"/>
      <c r="B59" s="200"/>
      <c r="C59" s="205"/>
      <c r="D59" s="184"/>
      <c r="E59" s="182"/>
      <c r="F59" s="201"/>
      <c r="G59" s="182"/>
      <c r="H59" s="200"/>
      <c r="I59" s="200"/>
      <c r="J59" s="304"/>
      <c r="K59" s="305"/>
      <c r="L59" s="304"/>
      <c r="M59" s="300"/>
      <c r="N59" s="301"/>
      <c r="O59" s="301"/>
      <c r="P59" s="302"/>
    </row>
    <row r="60" spans="1:16" ht="47.1" customHeight="1">
      <c r="A60" s="9"/>
      <c r="B60" s="200"/>
      <c r="C60" s="205"/>
      <c r="D60" s="184"/>
      <c r="E60" s="182"/>
      <c r="F60" s="201"/>
      <c r="G60" s="182"/>
      <c r="H60" s="200"/>
      <c r="I60" s="200"/>
      <c r="J60" s="304"/>
      <c r="K60" s="305"/>
      <c r="L60" s="304"/>
      <c r="M60" s="300"/>
      <c r="N60" s="301"/>
      <c r="O60" s="301"/>
      <c r="P60" s="302"/>
    </row>
  </sheetData>
  <mergeCells count="37">
    <mergeCell ref="A4:A7"/>
    <mergeCell ref="C4:C5"/>
    <mergeCell ref="D4:D5"/>
    <mergeCell ref="E4:E7"/>
    <mergeCell ref="F4:H7"/>
    <mergeCell ref="B5:B6"/>
    <mergeCell ref="C6:C7"/>
    <mergeCell ref="D6:D7"/>
    <mergeCell ref="A2:A3"/>
    <mergeCell ref="B2:B3"/>
    <mergeCell ref="C2:C3"/>
    <mergeCell ref="D2:D3"/>
    <mergeCell ref="E2:E3"/>
    <mergeCell ref="J6:K6"/>
    <mergeCell ref="L6:M6"/>
    <mergeCell ref="J7:K7"/>
    <mergeCell ref="L7:M7"/>
    <mergeCell ref="J2:K2"/>
    <mergeCell ref="L2:M2"/>
    <mergeCell ref="J3:K3"/>
    <mergeCell ref="L3:M3"/>
    <mergeCell ref="B1:O1"/>
    <mergeCell ref="P1:P4"/>
    <mergeCell ref="F2:H3"/>
    <mergeCell ref="J4:K5"/>
    <mergeCell ref="L4:M5"/>
    <mergeCell ref="I8:I9"/>
    <mergeCell ref="J8:L8"/>
    <mergeCell ref="M8:P9"/>
    <mergeCell ref="A8:A9"/>
    <mergeCell ref="B8:B9"/>
    <mergeCell ref="C8:C9"/>
    <mergeCell ref="D8:D9"/>
    <mergeCell ref="E8:E9"/>
    <mergeCell ref="F8:F9"/>
    <mergeCell ref="G8:G9"/>
    <mergeCell ref="H8:H9"/>
  </mergeCells>
  <pageMargins left="0.70866141732283472" right="0.70866141732283472" top="0.74803149606299213" bottom="0.74803149606299213" header="0.31496062992125984" footer="0.31496062992125984"/>
  <pageSetup paperSize="9" scale="55" fitToWidth="0" orientation="landscape" r:id="rId1"/>
  <headerFooter>
    <oddHeader>&amp;L&amp;14 &amp;11
                     &amp;"GE Inspira,Regular"&amp;P / &amp;N</oddHeader>
    <oddFooter xml:space="preserve">&amp;L&amp;"GE Inspira,Regular"&amp;12                                                     
Hazırlayan:    Halit KAPLAN
&amp;9Prapared by:
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4BAC-6147-4CBE-882F-EEB6464963F4}">
  <sheetPr codeName="Sheet6"/>
  <dimension ref="A1:P61"/>
  <sheetViews>
    <sheetView zoomScale="85" zoomScaleNormal="85" workbookViewId="0">
      <selection activeCell="L10" sqref="L10"/>
    </sheetView>
  </sheetViews>
  <sheetFormatPr defaultRowHeight="15"/>
  <cols>
    <col min="1" max="1" width="6.85546875" customWidth="1"/>
    <col min="2" max="2" width="15.28515625" customWidth="1"/>
    <col min="3" max="3" width="20" customWidth="1"/>
    <col min="4" max="4" width="47.5703125" bestFit="1" customWidth="1"/>
    <col min="7" max="7" width="10.42578125" customWidth="1"/>
    <col min="8" max="8" width="12.7109375" customWidth="1"/>
    <col min="9" max="9" width="14.28515625" customWidth="1"/>
    <col min="10" max="10" width="12.7109375" customWidth="1"/>
    <col min="11" max="11" width="14" bestFit="1" customWidth="1"/>
    <col min="12" max="12" width="11.5703125" customWidth="1"/>
    <col min="13" max="13" width="10.42578125" style="164" bestFit="1" customWidth="1"/>
    <col min="14" max="14" width="10.85546875" style="164" bestFit="1" customWidth="1"/>
    <col min="15" max="15" width="8.5703125" style="164" customWidth="1"/>
    <col min="16" max="16" width="21.7109375" style="164" customWidth="1"/>
  </cols>
  <sheetData>
    <row r="1" spans="1:16" ht="40.5" customHeight="1">
      <c r="A1" s="6"/>
      <c r="B1" s="511" t="s">
        <v>0</v>
      </c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2"/>
      <c r="P1" s="513"/>
    </row>
    <row r="2" spans="1:16" ht="15" customHeight="1">
      <c r="A2" s="516" t="s">
        <v>16</v>
      </c>
      <c r="B2" s="518">
        <f>'ÇALIŞMA SAYFASI'!C2</f>
        <v>46049</v>
      </c>
      <c r="C2" s="503" t="s">
        <v>11</v>
      </c>
      <c r="D2" s="505" t="str">
        <f>'ÇALIŞMA SAYFASI'!E2</f>
        <v>PA600-44&amp;53</v>
      </c>
      <c r="E2" s="503" t="s">
        <v>14</v>
      </c>
      <c r="F2" s="505" t="str">
        <f>'ÇALIŞMA SAYFASI'!G2</f>
        <v>SONELGAZ</v>
      </c>
      <c r="G2" s="505"/>
      <c r="H2" s="505"/>
      <c r="I2" s="1"/>
      <c r="J2" s="534" t="s">
        <v>526</v>
      </c>
      <c r="K2" s="535"/>
      <c r="L2" s="526" t="str">
        <f>'ÇALIŞMA SAYFASI'!M2</f>
        <v>T01140490</v>
      </c>
      <c r="M2" s="527"/>
      <c r="N2" s="1"/>
      <c r="O2" s="1"/>
      <c r="P2" s="514"/>
    </row>
    <row r="3" spans="1:16">
      <c r="A3" s="517"/>
      <c r="B3" s="519"/>
      <c r="C3" s="540"/>
      <c r="D3" s="541"/>
      <c r="E3" s="540"/>
      <c r="F3" s="541"/>
      <c r="G3" s="541"/>
      <c r="H3" s="541"/>
      <c r="I3" s="1"/>
      <c r="J3" s="534" t="s">
        <v>416</v>
      </c>
      <c r="K3" s="535"/>
      <c r="L3" s="526" t="str">
        <f>'ÇALIŞMA SAYFASI'!M3</f>
        <v>T01128380</v>
      </c>
      <c r="M3" s="527"/>
      <c r="N3" s="1"/>
      <c r="O3" s="1"/>
      <c r="P3" s="514"/>
    </row>
    <row r="4" spans="1:16" ht="15" customHeight="1">
      <c r="A4" s="546" t="s">
        <v>25</v>
      </c>
      <c r="B4" s="1"/>
      <c r="C4" s="540" t="s">
        <v>12</v>
      </c>
      <c r="D4" s="541">
        <f>'ÇALIŞMA SAYFASI'!E4</f>
        <v>120</v>
      </c>
      <c r="E4" s="542" t="s">
        <v>15</v>
      </c>
      <c r="F4" s="541" t="str">
        <f>'ÇALIŞMA SAYFASI'!G4</f>
        <v>ALGERIA</v>
      </c>
      <c r="G4" s="541"/>
      <c r="H4" s="541"/>
      <c r="I4" s="1"/>
      <c r="J4" s="536" t="s">
        <v>20</v>
      </c>
      <c r="K4" s="537"/>
      <c r="L4" s="520" t="str">
        <f>'ÇALIŞMA SAYFASI'!M4</f>
        <v>T01128371</v>
      </c>
      <c r="M4" s="522"/>
      <c r="N4" s="1"/>
      <c r="O4" s="10"/>
      <c r="P4" s="515"/>
    </row>
    <row r="5" spans="1:16" ht="15" customHeight="1">
      <c r="A5" s="547"/>
      <c r="B5" s="549"/>
      <c r="C5" s="540"/>
      <c r="D5" s="541"/>
      <c r="E5" s="542"/>
      <c r="F5" s="541"/>
      <c r="G5" s="541"/>
      <c r="H5" s="541"/>
      <c r="I5" s="1"/>
      <c r="J5" s="538"/>
      <c r="K5" s="539"/>
      <c r="L5" s="523"/>
      <c r="M5" s="525"/>
      <c r="N5" s="1"/>
      <c r="O5" s="10"/>
      <c r="P5" s="4"/>
    </row>
    <row r="6" spans="1:16" ht="15" customHeight="1">
      <c r="A6" s="547"/>
      <c r="B6" s="549"/>
      <c r="C6" s="540" t="s">
        <v>13</v>
      </c>
      <c r="D6" s="541">
        <f>'ÇALIŞMA SAYFASI'!E6</f>
        <v>220</v>
      </c>
      <c r="E6" s="542"/>
      <c r="F6" s="541"/>
      <c r="G6" s="541"/>
      <c r="H6" s="541"/>
      <c r="I6" s="1"/>
      <c r="J6" s="543" t="s">
        <v>21</v>
      </c>
      <c r="K6" s="544"/>
      <c r="L6" s="506"/>
      <c r="M6" s="507"/>
      <c r="N6" s="256" t="s">
        <v>23</v>
      </c>
      <c r="O6" s="8"/>
      <c r="P6" s="4"/>
    </row>
    <row r="7" spans="1:16">
      <c r="A7" s="548"/>
      <c r="B7" s="2"/>
      <c r="C7" s="540"/>
      <c r="D7" s="541"/>
      <c r="E7" s="542"/>
      <c r="F7" s="541"/>
      <c r="G7" s="541"/>
      <c r="H7" s="541"/>
      <c r="I7" s="2"/>
      <c r="J7" s="543" t="s">
        <v>22</v>
      </c>
      <c r="K7" s="544"/>
      <c r="L7" s="545"/>
      <c r="M7" s="556"/>
      <c r="N7" s="256" t="s">
        <v>24</v>
      </c>
      <c r="O7" s="8"/>
      <c r="P7" s="4"/>
    </row>
    <row r="8" spans="1:16" ht="30" customHeight="1">
      <c r="A8" s="528" t="s">
        <v>18</v>
      </c>
      <c r="B8" s="553" t="s">
        <v>19</v>
      </c>
      <c r="C8" s="542" t="s">
        <v>17</v>
      </c>
      <c r="D8" s="554" t="s">
        <v>1</v>
      </c>
      <c r="E8" s="554" t="s">
        <v>6</v>
      </c>
      <c r="F8" s="554" t="s">
        <v>3</v>
      </c>
      <c r="G8" s="554" t="s">
        <v>5</v>
      </c>
      <c r="H8" s="555" t="s">
        <v>391</v>
      </c>
      <c r="I8" s="555" t="s">
        <v>390</v>
      </c>
      <c r="J8" s="554" t="s">
        <v>7</v>
      </c>
      <c r="K8" s="554"/>
      <c r="L8" s="554"/>
      <c r="M8" s="554" t="s">
        <v>10</v>
      </c>
      <c r="N8" s="554"/>
      <c r="O8" s="554"/>
      <c r="P8" s="554"/>
    </row>
    <row r="9" spans="1:16" ht="34.5" customHeight="1">
      <c r="A9" s="530"/>
      <c r="B9" s="553"/>
      <c r="C9" s="542"/>
      <c r="D9" s="554"/>
      <c r="E9" s="554"/>
      <c r="F9" s="554"/>
      <c r="G9" s="554"/>
      <c r="H9" s="542"/>
      <c r="I9" s="542"/>
      <c r="J9" s="11" t="s">
        <v>8</v>
      </c>
      <c r="K9" s="11" t="s">
        <v>532</v>
      </c>
      <c r="L9" s="11" t="s">
        <v>9</v>
      </c>
      <c r="M9" s="554"/>
      <c r="N9" s="554"/>
      <c r="O9" s="554"/>
      <c r="P9" s="554"/>
    </row>
    <row r="10" spans="1:16" ht="47.1" customHeight="1">
      <c r="A10" s="9">
        <v>1</v>
      </c>
      <c r="B10" s="200"/>
      <c r="C10" s="206" t="s">
        <v>782</v>
      </c>
      <c r="D10" s="203" t="s">
        <v>783</v>
      </c>
      <c r="E10" s="204">
        <v>24</v>
      </c>
      <c r="F10" s="213">
        <v>30</v>
      </c>
      <c r="G10" s="204" t="s">
        <v>646</v>
      </c>
      <c r="H10" s="182"/>
      <c r="I10" s="182"/>
      <c r="J10" s="182"/>
      <c r="K10" s="202"/>
      <c r="L10" s="182"/>
      <c r="M10" s="372" t="s">
        <v>1067</v>
      </c>
      <c r="N10" s="278"/>
      <c r="O10" s="278"/>
      <c r="P10" s="279"/>
    </row>
    <row r="11" spans="1:16" ht="47.1" customHeight="1">
      <c r="A11" s="9">
        <v>2</v>
      </c>
      <c r="B11" s="200"/>
      <c r="C11" s="206" t="s">
        <v>784</v>
      </c>
      <c r="D11" s="203" t="s">
        <v>785</v>
      </c>
      <c r="E11" s="204">
        <v>24</v>
      </c>
      <c r="F11" s="213">
        <v>60</v>
      </c>
      <c r="G11" s="204" t="s">
        <v>646</v>
      </c>
      <c r="H11" s="200"/>
      <c r="I11" s="200"/>
      <c r="J11" s="182"/>
      <c r="K11" s="202"/>
      <c r="L11" s="182"/>
      <c r="M11" s="277"/>
      <c r="N11" s="278"/>
      <c r="O11" s="278"/>
      <c r="P11" s="279"/>
    </row>
    <row r="12" spans="1:16" ht="47.1" customHeight="1">
      <c r="A12" s="9">
        <v>3</v>
      </c>
      <c r="B12" s="200"/>
      <c r="C12" s="206" t="s">
        <v>786</v>
      </c>
      <c r="D12" s="203" t="s">
        <v>787</v>
      </c>
      <c r="E12" s="204">
        <v>24</v>
      </c>
      <c r="F12" s="213">
        <v>120</v>
      </c>
      <c r="G12" s="204" t="s">
        <v>646</v>
      </c>
      <c r="H12" s="200"/>
      <c r="I12" s="200"/>
      <c r="J12" s="182"/>
      <c r="K12" s="202"/>
      <c r="L12" s="182"/>
      <c r="M12" s="277"/>
      <c r="N12" s="278"/>
      <c r="O12" s="278"/>
      <c r="P12" s="279"/>
    </row>
    <row r="13" spans="1:16" ht="47.1" customHeight="1">
      <c r="A13" s="9">
        <v>4</v>
      </c>
      <c r="B13" s="200"/>
      <c r="C13" s="206" t="s">
        <v>788</v>
      </c>
      <c r="D13" s="203" t="s">
        <v>789</v>
      </c>
      <c r="E13" s="204">
        <v>24</v>
      </c>
      <c r="F13" s="213">
        <v>40</v>
      </c>
      <c r="G13" s="204" t="s">
        <v>646</v>
      </c>
      <c r="H13" s="200"/>
      <c r="I13" s="200"/>
      <c r="J13" s="182"/>
      <c r="K13" s="202"/>
      <c r="L13" s="182"/>
      <c r="M13" s="277"/>
      <c r="N13" s="278"/>
      <c r="O13" s="278"/>
      <c r="P13" s="279"/>
    </row>
    <row r="14" spans="1:16" ht="47.1" customHeight="1">
      <c r="A14" s="9">
        <v>5</v>
      </c>
      <c r="B14" s="184"/>
      <c r="C14" s="327" t="s">
        <v>790</v>
      </c>
      <c r="D14" s="203" t="s">
        <v>791</v>
      </c>
      <c r="E14" s="204">
        <v>24</v>
      </c>
      <c r="F14" s="213">
        <v>90</v>
      </c>
      <c r="G14" s="204" t="s">
        <v>646</v>
      </c>
      <c r="H14" s="200"/>
      <c r="I14" s="200"/>
      <c r="J14" s="182"/>
      <c r="K14" s="202"/>
      <c r="L14" s="182"/>
      <c r="M14" s="277"/>
      <c r="N14" s="278"/>
      <c r="O14" s="278"/>
      <c r="P14" s="279"/>
    </row>
    <row r="15" spans="1:16" ht="47.1" customHeight="1">
      <c r="A15" s="9">
        <v>6</v>
      </c>
      <c r="B15" s="200"/>
      <c r="C15" s="328" t="s">
        <v>792</v>
      </c>
      <c r="D15" s="203" t="s">
        <v>793</v>
      </c>
      <c r="E15" s="204">
        <v>24</v>
      </c>
      <c r="F15" s="213">
        <v>130</v>
      </c>
      <c r="G15" s="204" t="s">
        <v>646</v>
      </c>
      <c r="H15" s="200"/>
      <c r="I15" s="200"/>
      <c r="J15" s="182"/>
      <c r="K15" s="202"/>
      <c r="L15" s="182"/>
      <c r="M15" s="277"/>
      <c r="N15" s="278"/>
      <c r="O15" s="278"/>
      <c r="P15" s="279"/>
    </row>
    <row r="16" spans="1:16" ht="47.1" customHeight="1">
      <c r="A16" s="9">
        <v>7</v>
      </c>
      <c r="B16" s="200"/>
      <c r="C16" s="328" t="s">
        <v>794</v>
      </c>
      <c r="D16" s="203" t="s">
        <v>795</v>
      </c>
      <c r="E16" s="204">
        <v>24</v>
      </c>
      <c r="F16" s="213">
        <v>190</v>
      </c>
      <c r="G16" s="204" t="s">
        <v>646</v>
      </c>
      <c r="H16" s="200"/>
      <c r="I16" s="200"/>
      <c r="J16" s="182"/>
      <c r="K16" s="202"/>
      <c r="L16" s="182"/>
      <c r="M16" s="277"/>
      <c r="N16" s="278"/>
      <c r="O16" s="278"/>
      <c r="P16" s="279"/>
    </row>
    <row r="17" spans="1:16" ht="47.1" customHeight="1">
      <c r="A17" s="9">
        <v>8</v>
      </c>
      <c r="B17" s="200"/>
      <c r="C17" s="206" t="s">
        <v>796</v>
      </c>
      <c r="D17" s="203" t="s">
        <v>797</v>
      </c>
      <c r="E17" s="204">
        <v>24</v>
      </c>
      <c r="F17" s="213">
        <v>20</v>
      </c>
      <c r="G17" s="204" t="s">
        <v>646</v>
      </c>
      <c r="H17" s="200"/>
      <c r="I17" s="200"/>
      <c r="J17" s="182"/>
      <c r="K17" s="202"/>
      <c r="L17" s="182"/>
      <c r="M17" s="277"/>
      <c r="N17" s="278"/>
      <c r="O17" s="278"/>
      <c r="P17" s="279"/>
    </row>
    <row r="18" spans="1:16" ht="47.1" customHeight="1">
      <c r="A18" s="9">
        <v>9</v>
      </c>
      <c r="B18" s="200"/>
      <c r="C18" s="206" t="s">
        <v>798</v>
      </c>
      <c r="D18" s="203" t="s">
        <v>799</v>
      </c>
      <c r="E18" s="204">
        <v>24</v>
      </c>
      <c r="F18" s="213">
        <v>120</v>
      </c>
      <c r="G18" s="204" t="s">
        <v>646</v>
      </c>
      <c r="H18" s="200"/>
      <c r="I18" s="200"/>
      <c r="J18" s="182"/>
      <c r="K18" s="202"/>
      <c r="L18" s="182"/>
      <c r="M18" s="277"/>
      <c r="N18" s="278"/>
      <c r="O18" s="278"/>
      <c r="P18" s="279"/>
    </row>
    <row r="19" spans="1:16" ht="47.1" customHeight="1">
      <c r="A19" s="9">
        <v>10</v>
      </c>
      <c r="B19" s="200"/>
      <c r="C19" s="206" t="s">
        <v>800</v>
      </c>
      <c r="D19" s="203" t="s">
        <v>801</v>
      </c>
      <c r="E19" s="204">
        <v>24</v>
      </c>
      <c r="F19" s="213">
        <v>40</v>
      </c>
      <c r="G19" s="204" t="s">
        <v>646</v>
      </c>
      <c r="H19" s="200"/>
      <c r="I19" s="200"/>
      <c r="J19" s="182"/>
      <c r="K19" s="191"/>
      <c r="L19" s="182"/>
      <c r="M19" s="277"/>
      <c r="N19" s="278"/>
      <c r="O19" s="278"/>
      <c r="P19" s="279"/>
    </row>
    <row r="20" spans="1:16" ht="47.1" customHeight="1">
      <c r="A20" s="9">
        <v>11</v>
      </c>
      <c r="B20" s="200"/>
      <c r="C20" s="206" t="s">
        <v>802</v>
      </c>
      <c r="D20" s="203" t="s">
        <v>803</v>
      </c>
      <c r="E20" s="204">
        <v>24</v>
      </c>
      <c r="F20" s="213">
        <v>120</v>
      </c>
      <c r="G20" s="204" t="s">
        <v>646</v>
      </c>
      <c r="H20" s="200"/>
      <c r="I20" s="200"/>
      <c r="J20" s="182"/>
      <c r="K20" s="191"/>
      <c r="L20" s="182"/>
      <c r="M20" s="277"/>
      <c r="N20" s="278"/>
      <c r="O20" s="278"/>
      <c r="P20" s="279"/>
    </row>
    <row r="21" spans="1:16" ht="47.1" customHeight="1">
      <c r="A21" s="9">
        <v>12</v>
      </c>
      <c r="B21" s="200"/>
      <c r="C21" s="206" t="s">
        <v>804</v>
      </c>
      <c r="D21" s="203" t="s">
        <v>805</v>
      </c>
      <c r="E21" s="204">
        <v>24</v>
      </c>
      <c r="F21" s="213">
        <v>30</v>
      </c>
      <c r="G21" s="204" t="s">
        <v>646</v>
      </c>
      <c r="H21" s="200"/>
      <c r="I21" s="200"/>
      <c r="J21" s="182"/>
      <c r="K21" s="191"/>
      <c r="L21" s="182"/>
      <c r="M21" s="277"/>
      <c r="N21" s="278"/>
      <c r="O21" s="278"/>
      <c r="P21" s="279"/>
    </row>
    <row r="22" spans="1:16" ht="47.1" customHeight="1">
      <c r="A22" s="9">
        <v>13</v>
      </c>
      <c r="B22" s="200"/>
      <c r="C22" s="206" t="s">
        <v>590</v>
      </c>
      <c r="D22" s="203" t="s">
        <v>595</v>
      </c>
      <c r="E22" s="204">
        <v>24</v>
      </c>
      <c r="F22" s="213">
        <v>30</v>
      </c>
      <c r="G22" s="204" t="s">
        <v>646</v>
      </c>
      <c r="H22" s="200"/>
      <c r="I22" s="200"/>
      <c r="J22" s="182"/>
      <c r="K22" s="191"/>
      <c r="L22" s="182"/>
      <c r="M22" s="277"/>
      <c r="N22" s="278"/>
      <c r="O22" s="278"/>
      <c r="P22" s="279"/>
    </row>
    <row r="23" spans="1:16" ht="47.1" customHeight="1">
      <c r="A23" s="9">
        <v>14</v>
      </c>
      <c r="B23" s="200"/>
      <c r="C23" s="206" t="s">
        <v>806</v>
      </c>
      <c r="D23" s="203" t="s">
        <v>807</v>
      </c>
      <c r="E23" s="204">
        <v>24</v>
      </c>
      <c r="F23" s="213">
        <v>25</v>
      </c>
      <c r="G23" s="204" t="s">
        <v>646</v>
      </c>
      <c r="H23" s="200"/>
      <c r="I23" s="200"/>
      <c r="J23" s="182"/>
      <c r="K23" s="191"/>
      <c r="L23" s="182"/>
      <c r="M23" s="277"/>
      <c r="N23" s="278"/>
      <c r="O23" s="278"/>
      <c r="P23" s="279"/>
    </row>
    <row r="24" spans="1:16" ht="47.1" customHeight="1">
      <c r="A24" s="9">
        <v>15</v>
      </c>
      <c r="B24" s="206"/>
      <c r="C24" s="206" t="s">
        <v>808</v>
      </c>
      <c r="D24" s="203" t="s">
        <v>809</v>
      </c>
      <c r="E24" s="204">
        <v>24</v>
      </c>
      <c r="F24" s="213">
        <v>10</v>
      </c>
      <c r="G24" s="204" t="s">
        <v>646</v>
      </c>
      <c r="H24" s="206"/>
      <c r="I24" s="206"/>
      <c r="J24" s="204"/>
      <c r="K24" s="207"/>
      <c r="L24" s="204"/>
      <c r="M24" s="277"/>
      <c r="N24" s="278"/>
      <c r="O24" s="278"/>
      <c r="P24" s="279"/>
    </row>
    <row r="25" spans="1:16" ht="47.1" customHeight="1">
      <c r="A25" s="9">
        <v>16</v>
      </c>
      <c r="B25" s="200"/>
      <c r="C25" s="206" t="s">
        <v>810</v>
      </c>
      <c r="D25" s="203" t="s">
        <v>811</v>
      </c>
      <c r="E25" s="204">
        <v>24</v>
      </c>
      <c r="F25" s="213">
        <v>25</v>
      </c>
      <c r="G25" s="204" t="s">
        <v>646</v>
      </c>
      <c r="H25" s="200"/>
      <c r="I25" s="200"/>
      <c r="J25" s="182"/>
      <c r="K25" s="202"/>
      <c r="L25" s="182"/>
      <c r="M25" s="277"/>
      <c r="N25" s="278"/>
      <c r="O25" s="278"/>
      <c r="P25" s="279"/>
    </row>
    <row r="26" spans="1:16" ht="47.1" customHeight="1">
      <c r="A26" s="9">
        <v>17</v>
      </c>
      <c r="B26" s="200"/>
      <c r="C26" s="206" t="s">
        <v>404</v>
      </c>
      <c r="D26" s="203" t="s">
        <v>589</v>
      </c>
      <c r="E26" s="204">
        <v>24</v>
      </c>
      <c r="F26" s="213">
        <v>45</v>
      </c>
      <c r="G26" s="204" t="s">
        <v>646</v>
      </c>
      <c r="H26" s="200"/>
      <c r="I26" s="200"/>
      <c r="J26" s="182"/>
      <c r="K26" s="202"/>
      <c r="L26" s="182"/>
      <c r="M26" s="277"/>
      <c r="N26" s="278"/>
      <c r="O26" s="278"/>
      <c r="P26" s="279"/>
    </row>
    <row r="27" spans="1:16" ht="47.1" customHeight="1">
      <c r="A27" s="9">
        <v>18</v>
      </c>
      <c r="B27" s="200"/>
      <c r="C27" s="206" t="s">
        <v>812</v>
      </c>
      <c r="D27" s="203" t="s">
        <v>813</v>
      </c>
      <c r="E27" s="204">
        <v>24</v>
      </c>
      <c r="F27" s="213">
        <v>60</v>
      </c>
      <c r="G27" s="204" t="s">
        <v>646</v>
      </c>
      <c r="H27" s="200"/>
      <c r="I27" s="200"/>
      <c r="J27" s="182"/>
      <c r="K27" s="202"/>
      <c r="L27" s="182"/>
      <c r="M27" s="277"/>
      <c r="N27" s="278"/>
      <c r="O27" s="278"/>
      <c r="P27" s="279"/>
    </row>
    <row r="28" spans="1:16" ht="47.1" customHeight="1">
      <c r="A28" s="9">
        <v>19</v>
      </c>
      <c r="B28" s="200"/>
      <c r="C28" s="206" t="s">
        <v>405</v>
      </c>
      <c r="D28" s="203" t="s">
        <v>594</v>
      </c>
      <c r="E28" s="204">
        <v>24</v>
      </c>
      <c r="F28" s="213">
        <v>50</v>
      </c>
      <c r="G28" s="204" t="s">
        <v>646</v>
      </c>
      <c r="H28" s="200"/>
      <c r="I28" s="200"/>
      <c r="J28" s="182"/>
      <c r="K28" s="202"/>
      <c r="L28" s="182"/>
      <c r="M28" s="277"/>
      <c r="N28" s="278"/>
      <c r="O28" s="278"/>
      <c r="P28" s="279"/>
    </row>
    <row r="29" spans="1:16" ht="47.1" customHeight="1">
      <c r="A29" s="9">
        <v>20</v>
      </c>
      <c r="B29" s="200"/>
      <c r="C29" s="206" t="s">
        <v>814</v>
      </c>
      <c r="D29" s="203" t="s">
        <v>815</v>
      </c>
      <c r="E29" s="204">
        <v>24</v>
      </c>
      <c r="F29" s="213">
        <v>55</v>
      </c>
      <c r="G29" s="204" t="s">
        <v>646</v>
      </c>
      <c r="H29" s="200"/>
      <c r="I29" s="200"/>
      <c r="J29" s="182"/>
      <c r="K29" s="202"/>
      <c r="L29" s="182"/>
      <c r="M29" s="277"/>
      <c r="N29" s="278"/>
      <c r="O29" s="278"/>
      <c r="P29" s="279"/>
    </row>
    <row r="30" spans="1:16" ht="47.1" customHeight="1">
      <c r="A30" s="9">
        <v>21</v>
      </c>
      <c r="B30" s="200"/>
      <c r="C30" s="206" t="s">
        <v>816</v>
      </c>
      <c r="D30" s="203" t="s">
        <v>817</v>
      </c>
      <c r="E30" s="204">
        <v>24</v>
      </c>
      <c r="F30" s="213">
        <v>15</v>
      </c>
      <c r="G30" s="204" t="s">
        <v>646</v>
      </c>
      <c r="H30" s="200"/>
      <c r="I30" s="200"/>
      <c r="J30" s="182"/>
      <c r="K30" s="202"/>
      <c r="L30" s="182"/>
      <c r="M30" s="277"/>
      <c r="N30" s="278"/>
      <c r="O30" s="278"/>
      <c r="P30" s="279"/>
    </row>
    <row r="31" spans="1:16" ht="47.1" customHeight="1">
      <c r="A31" s="9">
        <v>22</v>
      </c>
      <c r="B31" s="200"/>
      <c r="C31" s="327" t="s">
        <v>818</v>
      </c>
      <c r="D31" s="203" t="s">
        <v>819</v>
      </c>
      <c r="E31" s="204">
        <v>24</v>
      </c>
      <c r="F31" s="213">
        <v>30</v>
      </c>
      <c r="G31" s="204" t="s">
        <v>646</v>
      </c>
      <c r="H31" s="200"/>
      <c r="I31" s="200"/>
      <c r="J31" s="182"/>
      <c r="K31" s="202"/>
      <c r="L31" s="182"/>
      <c r="M31" s="277"/>
      <c r="N31" s="278"/>
      <c r="O31" s="278"/>
      <c r="P31" s="279"/>
    </row>
    <row r="32" spans="1:16" ht="47.1" customHeight="1">
      <c r="A32" s="9">
        <v>23</v>
      </c>
      <c r="B32" s="200"/>
      <c r="C32" s="327" t="s">
        <v>820</v>
      </c>
      <c r="D32" s="203" t="s">
        <v>821</v>
      </c>
      <c r="E32" s="204">
        <v>24</v>
      </c>
      <c r="F32" s="213">
        <v>20</v>
      </c>
      <c r="G32" s="204" t="s">
        <v>646</v>
      </c>
      <c r="H32" s="200"/>
      <c r="I32" s="200"/>
      <c r="J32" s="182"/>
      <c r="K32" s="202"/>
      <c r="L32" s="182"/>
      <c r="M32" s="277"/>
      <c r="N32" s="278"/>
      <c r="O32" s="278"/>
      <c r="P32" s="279"/>
    </row>
    <row r="33" spans="1:16" ht="47.1" customHeight="1">
      <c r="A33" s="9">
        <v>24</v>
      </c>
      <c r="B33" s="200"/>
      <c r="C33" s="327" t="s">
        <v>822</v>
      </c>
      <c r="D33" s="203" t="s">
        <v>823</v>
      </c>
      <c r="E33" s="204">
        <v>24</v>
      </c>
      <c r="F33" s="213">
        <v>70</v>
      </c>
      <c r="G33" s="204" t="s">
        <v>646</v>
      </c>
      <c r="H33" s="200"/>
      <c r="I33" s="200"/>
      <c r="J33" s="182"/>
      <c r="K33" s="202"/>
      <c r="L33" s="182"/>
      <c r="M33" s="277"/>
      <c r="N33" s="278"/>
      <c r="O33" s="278"/>
      <c r="P33" s="279"/>
    </row>
    <row r="34" spans="1:16" ht="47.1" customHeight="1">
      <c r="A34" s="9">
        <v>25</v>
      </c>
      <c r="B34" s="200"/>
      <c r="C34" s="327" t="s">
        <v>699</v>
      </c>
      <c r="D34" s="203" t="s">
        <v>700</v>
      </c>
      <c r="E34" s="204">
        <v>24</v>
      </c>
      <c r="F34" s="213">
        <v>230</v>
      </c>
      <c r="G34" s="204" t="s">
        <v>646</v>
      </c>
      <c r="H34" s="200"/>
      <c r="I34" s="200"/>
      <c r="J34" s="182"/>
      <c r="K34" s="202"/>
      <c r="L34" s="182"/>
      <c r="M34" s="277"/>
      <c r="N34" s="278"/>
      <c r="O34" s="278"/>
      <c r="P34" s="279"/>
    </row>
    <row r="35" spans="1:16" ht="47.1" customHeight="1">
      <c r="A35" s="9">
        <v>26</v>
      </c>
      <c r="B35" s="200"/>
      <c r="C35" s="327" t="s">
        <v>824</v>
      </c>
      <c r="D35" s="203" t="s">
        <v>825</v>
      </c>
      <c r="E35" s="204">
        <v>24</v>
      </c>
      <c r="F35" s="213">
        <v>370</v>
      </c>
      <c r="G35" s="204" t="s">
        <v>646</v>
      </c>
      <c r="H35" s="200"/>
      <c r="I35" s="200"/>
      <c r="J35" s="182"/>
      <c r="K35" s="202"/>
      <c r="L35" s="182"/>
      <c r="M35" s="277"/>
      <c r="N35" s="278"/>
      <c r="O35" s="278"/>
      <c r="P35" s="279"/>
    </row>
    <row r="36" spans="1:16" ht="47.1" customHeight="1">
      <c r="A36" s="9">
        <v>27</v>
      </c>
      <c r="B36" s="200"/>
      <c r="C36" s="327" t="s">
        <v>703</v>
      </c>
      <c r="D36" s="203" t="s">
        <v>704</v>
      </c>
      <c r="E36" s="204">
        <v>24</v>
      </c>
      <c r="F36" s="213">
        <v>590</v>
      </c>
      <c r="G36" s="204" t="s">
        <v>646</v>
      </c>
      <c r="H36" s="200"/>
      <c r="I36" s="200"/>
      <c r="J36" s="182"/>
      <c r="K36" s="202"/>
      <c r="L36" s="182"/>
      <c r="M36" s="277"/>
      <c r="N36" s="278"/>
      <c r="O36" s="278"/>
      <c r="P36" s="279"/>
    </row>
    <row r="37" spans="1:16" ht="47.1" customHeight="1">
      <c r="A37" s="9">
        <v>28</v>
      </c>
      <c r="B37" s="200"/>
      <c r="C37" s="327" t="s">
        <v>826</v>
      </c>
      <c r="D37" s="203" t="s">
        <v>827</v>
      </c>
      <c r="E37" s="204">
        <v>24</v>
      </c>
      <c r="F37" s="213">
        <v>490</v>
      </c>
      <c r="G37" s="204" t="s">
        <v>646</v>
      </c>
      <c r="H37" s="200"/>
      <c r="I37" s="200"/>
      <c r="J37" s="182"/>
      <c r="K37" s="202"/>
      <c r="L37" s="182"/>
      <c r="M37" s="277"/>
      <c r="N37" s="278"/>
      <c r="O37" s="278"/>
      <c r="P37" s="279"/>
    </row>
    <row r="38" spans="1:16" ht="47.1" customHeight="1">
      <c r="A38" s="9">
        <v>29</v>
      </c>
      <c r="B38" s="200"/>
      <c r="C38" s="327" t="s">
        <v>828</v>
      </c>
      <c r="D38" s="203" t="s">
        <v>829</v>
      </c>
      <c r="E38" s="204">
        <v>24</v>
      </c>
      <c r="F38" s="213">
        <v>230</v>
      </c>
      <c r="G38" s="204" t="s">
        <v>646</v>
      </c>
      <c r="H38" s="200"/>
      <c r="I38" s="200"/>
      <c r="J38" s="182"/>
      <c r="K38" s="202"/>
      <c r="L38" s="182"/>
      <c r="M38" s="277"/>
      <c r="N38" s="278"/>
      <c r="O38" s="278"/>
      <c r="P38" s="279"/>
    </row>
    <row r="39" spans="1:16" ht="47.1" customHeight="1">
      <c r="A39" s="9">
        <v>30</v>
      </c>
      <c r="B39" s="206"/>
      <c r="C39" s="327" t="s">
        <v>830</v>
      </c>
      <c r="D39" s="203" t="s">
        <v>831</v>
      </c>
      <c r="E39" s="204">
        <v>24</v>
      </c>
      <c r="F39" s="213">
        <v>50</v>
      </c>
      <c r="G39" s="204" t="s">
        <v>646</v>
      </c>
      <c r="H39" s="200"/>
      <c r="I39" s="200"/>
      <c r="J39" s="182"/>
      <c r="K39" s="202"/>
      <c r="L39" s="182"/>
      <c r="M39" s="277"/>
      <c r="N39" s="278"/>
      <c r="O39" s="278"/>
      <c r="P39" s="279"/>
    </row>
    <row r="40" spans="1:16" ht="47.1" customHeight="1">
      <c r="A40" s="9">
        <v>31</v>
      </c>
      <c r="B40" s="206"/>
      <c r="C40" s="327" t="s">
        <v>832</v>
      </c>
      <c r="D40" s="203" t="s">
        <v>833</v>
      </c>
      <c r="E40" s="204">
        <v>24</v>
      </c>
      <c r="F40" s="213">
        <v>120</v>
      </c>
      <c r="G40" s="204" t="s">
        <v>646</v>
      </c>
      <c r="H40" s="200"/>
      <c r="I40" s="200"/>
      <c r="J40" s="182"/>
      <c r="K40" s="202"/>
      <c r="L40" s="216"/>
      <c r="M40" s="277"/>
      <c r="N40" s="278"/>
      <c r="O40" s="278"/>
      <c r="P40" s="279"/>
    </row>
    <row r="41" spans="1:16" ht="47.1" customHeight="1">
      <c r="A41" s="9">
        <v>32</v>
      </c>
      <c r="B41" s="200"/>
      <c r="C41" s="327" t="s">
        <v>834</v>
      </c>
      <c r="D41" s="203" t="s">
        <v>835</v>
      </c>
      <c r="E41" s="204">
        <v>24</v>
      </c>
      <c r="F41" s="213">
        <v>20</v>
      </c>
      <c r="G41" s="204" t="s">
        <v>646</v>
      </c>
      <c r="H41" s="200"/>
      <c r="I41" s="200"/>
      <c r="J41" s="182"/>
      <c r="K41" s="202"/>
      <c r="L41" s="182"/>
      <c r="M41" s="277"/>
      <c r="N41" s="278"/>
      <c r="O41" s="278"/>
      <c r="P41" s="279"/>
    </row>
    <row r="42" spans="1:16" ht="47.1" customHeight="1">
      <c r="A42" s="9">
        <v>33</v>
      </c>
      <c r="B42" s="200"/>
      <c r="C42" s="327" t="s">
        <v>836</v>
      </c>
      <c r="D42" s="203" t="s">
        <v>837</v>
      </c>
      <c r="E42" s="204">
        <v>24</v>
      </c>
      <c r="F42" s="213">
        <v>120</v>
      </c>
      <c r="G42" s="204" t="s">
        <v>646</v>
      </c>
      <c r="H42" s="200"/>
      <c r="I42" s="200"/>
      <c r="J42" s="182"/>
      <c r="K42" s="202"/>
      <c r="L42" s="182"/>
      <c r="M42" s="277"/>
      <c r="N42" s="278"/>
      <c r="O42" s="278"/>
      <c r="P42" s="279"/>
    </row>
    <row r="43" spans="1:16" ht="47.1" customHeight="1">
      <c r="A43" s="9">
        <v>34</v>
      </c>
      <c r="B43" s="200"/>
      <c r="C43" s="327" t="s">
        <v>838</v>
      </c>
      <c r="D43" s="203" t="s">
        <v>839</v>
      </c>
      <c r="E43" s="204">
        <v>24</v>
      </c>
      <c r="F43" s="213">
        <v>20</v>
      </c>
      <c r="G43" s="204" t="s">
        <v>646</v>
      </c>
      <c r="H43" s="200"/>
      <c r="I43" s="200"/>
      <c r="J43" s="182"/>
      <c r="K43" s="202"/>
      <c r="L43" s="182"/>
      <c r="M43" s="277"/>
      <c r="N43" s="278"/>
      <c r="O43" s="278"/>
      <c r="P43" s="279"/>
    </row>
    <row r="44" spans="1:16" ht="47.1" customHeight="1">
      <c r="A44" s="9">
        <v>35</v>
      </c>
      <c r="B44" s="200"/>
      <c r="C44" s="327" t="s">
        <v>840</v>
      </c>
      <c r="D44" s="203" t="s">
        <v>841</v>
      </c>
      <c r="E44" s="204">
        <v>24</v>
      </c>
      <c r="F44" s="213">
        <v>280</v>
      </c>
      <c r="G44" s="204" t="s">
        <v>646</v>
      </c>
      <c r="H44" s="200"/>
      <c r="I44" s="200"/>
      <c r="J44" s="182"/>
      <c r="K44" s="202"/>
      <c r="L44" s="182"/>
      <c r="M44" s="277"/>
      <c r="N44" s="278"/>
      <c r="O44" s="278"/>
      <c r="P44" s="279"/>
    </row>
    <row r="45" spans="1:16" ht="47.1" customHeight="1">
      <c r="A45" s="9">
        <v>36</v>
      </c>
      <c r="B45" s="200"/>
      <c r="C45" s="327" t="s">
        <v>842</v>
      </c>
      <c r="D45" s="203" t="s">
        <v>843</v>
      </c>
      <c r="E45" s="204">
        <v>24</v>
      </c>
      <c r="F45" s="213">
        <v>55</v>
      </c>
      <c r="G45" s="204" t="s">
        <v>646</v>
      </c>
      <c r="H45" s="200"/>
      <c r="I45" s="200"/>
      <c r="J45" s="182"/>
      <c r="K45" s="202"/>
      <c r="L45" s="182"/>
      <c r="M45" s="277"/>
      <c r="N45" s="278"/>
      <c r="O45" s="278"/>
      <c r="P45" s="279"/>
    </row>
    <row r="46" spans="1:16" ht="47.1" customHeight="1">
      <c r="A46" s="9">
        <v>37</v>
      </c>
      <c r="B46" s="200"/>
      <c r="C46" s="327" t="s">
        <v>844</v>
      </c>
      <c r="D46" s="203" t="s">
        <v>845</v>
      </c>
      <c r="E46" s="204">
        <v>24</v>
      </c>
      <c r="F46" s="213">
        <v>60</v>
      </c>
      <c r="G46" s="204" t="s">
        <v>646</v>
      </c>
      <c r="H46" s="200"/>
      <c r="I46" s="200"/>
      <c r="J46" s="182"/>
      <c r="K46" s="202"/>
      <c r="L46" s="182"/>
      <c r="M46" s="277"/>
      <c r="N46" s="278"/>
      <c r="O46" s="278"/>
      <c r="P46" s="279"/>
    </row>
    <row r="47" spans="1:16" ht="47.1" customHeight="1">
      <c r="A47" s="9">
        <v>38</v>
      </c>
      <c r="B47" s="200"/>
      <c r="C47" s="327" t="s">
        <v>846</v>
      </c>
      <c r="D47" s="203" t="s">
        <v>847</v>
      </c>
      <c r="E47" s="204">
        <v>24</v>
      </c>
      <c r="F47" s="213">
        <v>30</v>
      </c>
      <c r="G47" s="204" t="s">
        <v>646</v>
      </c>
      <c r="H47" s="200"/>
      <c r="I47" s="200"/>
      <c r="J47" s="182"/>
      <c r="K47" s="202"/>
      <c r="L47" s="182"/>
      <c r="M47" s="277"/>
      <c r="N47" s="278"/>
      <c r="O47" s="278"/>
      <c r="P47" s="279"/>
    </row>
    <row r="48" spans="1:16" ht="47.1" customHeight="1">
      <c r="A48" s="9">
        <v>39</v>
      </c>
      <c r="B48" s="200"/>
      <c r="C48" s="327" t="s">
        <v>848</v>
      </c>
      <c r="D48" s="203" t="s">
        <v>849</v>
      </c>
      <c r="E48" s="204">
        <v>24</v>
      </c>
      <c r="F48" s="213">
        <v>55</v>
      </c>
      <c r="G48" s="204" t="s">
        <v>646</v>
      </c>
      <c r="H48" s="200"/>
      <c r="I48" s="200"/>
      <c r="J48" s="182"/>
      <c r="K48" s="202"/>
      <c r="L48" s="182"/>
      <c r="M48" s="277"/>
      <c r="N48" s="278"/>
      <c r="O48" s="278"/>
      <c r="P48" s="279"/>
    </row>
    <row r="49" spans="1:16" ht="47.1" customHeight="1">
      <c r="A49" s="9">
        <v>40</v>
      </c>
      <c r="B49" s="200"/>
      <c r="C49" s="327" t="s">
        <v>850</v>
      </c>
      <c r="D49" s="203" t="s">
        <v>851</v>
      </c>
      <c r="E49" s="204">
        <v>24</v>
      </c>
      <c r="F49" s="213">
        <v>60</v>
      </c>
      <c r="G49" s="204" t="s">
        <v>646</v>
      </c>
      <c r="H49" s="200"/>
      <c r="I49" s="200"/>
      <c r="J49" s="182"/>
      <c r="K49" s="202"/>
      <c r="L49" s="182"/>
      <c r="M49" s="277"/>
      <c r="N49" s="278"/>
      <c r="O49" s="278"/>
      <c r="P49" s="279"/>
    </row>
    <row r="50" spans="1:16" ht="47.1" customHeight="1">
      <c r="A50" s="9">
        <v>41</v>
      </c>
      <c r="B50" s="200"/>
      <c r="C50" s="327" t="s">
        <v>852</v>
      </c>
      <c r="D50" s="203" t="s">
        <v>853</v>
      </c>
      <c r="E50" s="204">
        <v>24</v>
      </c>
      <c r="F50" s="213">
        <v>15</v>
      </c>
      <c r="G50" s="204" t="s">
        <v>646</v>
      </c>
      <c r="H50" s="200"/>
      <c r="I50" s="200"/>
      <c r="J50" s="182"/>
      <c r="K50" s="202"/>
      <c r="L50" s="182"/>
      <c r="M50" s="277"/>
      <c r="N50" s="278"/>
      <c r="O50" s="278"/>
      <c r="P50" s="279"/>
    </row>
    <row r="51" spans="1:16" ht="47.1" customHeight="1">
      <c r="A51" s="9">
        <v>42</v>
      </c>
      <c r="B51" s="200"/>
      <c r="C51" s="327" t="s">
        <v>707</v>
      </c>
      <c r="D51" s="203" t="s">
        <v>708</v>
      </c>
      <c r="E51" s="204">
        <v>24</v>
      </c>
      <c r="F51" s="213">
        <v>120</v>
      </c>
      <c r="G51" s="204" t="s">
        <v>646</v>
      </c>
      <c r="H51" s="200"/>
      <c r="I51" s="200"/>
      <c r="J51" s="182"/>
      <c r="K51" s="202"/>
      <c r="L51" s="182"/>
      <c r="M51" s="277"/>
      <c r="N51" s="278"/>
      <c r="O51" s="278"/>
      <c r="P51" s="279"/>
    </row>
    <row r="52" spans="1:16" ht="47.1" customHeight="1">
      <c r="A52" s="9">
        <v>43</v>
      </c>
      <c r="B52" s="200"/>
      <c r="C52" s="327" t="s">
        <v>854</v>
      </c>
      <c r="D52" s="203" t="s">
        <v>855</v>
      </c>
      <c r="E52" s="204">
        <v>24</v>
      </c>
      <c r="F52" s="213">
        <v>40</v>
      </c>
      <c r="G52" s="204" t="s">
        <v>646</v>
      </c>
      <c r="H52" s="200"/>
      <c r="I52" s="200"/>
      <c r="J52" s="182"/>
      <c r="K52" s="202"/>
      <c r="L52" s="182"/>
      <c r="M52" s="277"/>
      <c r="N52" s="278"/>
      <c r="O52" s="278"/>
      <c r="P52" s="279"/>
    </row>
    <row r="53" spans="1:16" ht="47.1" customHeight="1">
      <c r="A53" s="9">
        <v>44</v>
      </c>
      <c r="B53" s="200"/>
      <c r="C53" s="327" t="s">
        <v>705</v>
      </c>
      <c r="D53" s="203" t="s">
        <v>706</v>
      </c>
      <c r="E53" s="204">
        <v>24</v>
      </c>
      <c r="F53" s="213">
        <v>750</v>
      </c>
      <c r="G53" s="204" t="s">
        <v>646</v>
      </c>
      <c r="H53" s="200"/>
      <c r="I53" s="200"/>
      <c r="J53" s="182"/>
      <c r="K53" s="202"/>
      <c r="L53" s="182"/>
      <c r="M53" s="277"/>
      <c r="N53" s="278"/>
      <c r="O53" s="278"/>
      <c r="P53" s="279"/>
    </row>
    <row r="54" spans="1:16" ht="47.1" customHeight="1">
      <c r="A54" s="9">
        <v>45</v>
      </c>
      <c r="B54" s="200"/>
      <c r="C54" s="327" t="s">
        <v>856</v>
      </c>
      <c r="D54" s="203" t="s">
        <v>857</v>
      </c>
      <c r="E54" s="204">
        <v>24</v>
      </c>
      <c r="F54" s="213">
        <v>130</v>
      </c>
      <c r="G54" s="204" t="s">
        <v>646</v>
      </c>
      <c r="H54" s="200"/>
      <c r="I54" s="200"/>
      <c r="J54" s="182"/>
      <c r="K54" s="202"/>
      <c r="L54" s="182"/>
      <c r="M54" s="277"/>
      <c r="N54" s="278"/>
      <c r="O54" s="278"/>
      <c r="P54" s="279"/>
    </row>
    <row r="55" spans="1:16" ht="47.1" customHeight="1">
      <c r="A55" s="9">
        <v>46</v>
      </c>
      <c r="B55" s="200"/>
      <c r="C55" s="327" t="s">
        <v>858</v>
      </c>
      <c r="D55" s="203" t="s">
        <v>859</v>
      </c>
      <c r="E55" s="204">
        <v>24</v>
      </c>
      <c r="F55" s="213">
        <v>290</v>
      </c>
      <c r="G55" s="204" t="s">
        <v>646</v>
      </c>
      <c r="H55" s="200"/>
      <c r="I55" s="200"/>
      <c r="J55" s="182"/>
      <c r="K55" s="202"/>
      <c r="L55" s="182"/>
      <c r="M55" s="277"/>
      <c r="N55" s="278"/>
      <c r="O55" s="278"/>
      <c r="P55" s="279"/>
    </row>
    <row r="56" spans="1:16" ht="47.1" customHeight="1">
      <c r="A56" s="9">
        <v>47</v>
      </c>
      <c r="B56" s="200"/>
      <c r="C56" s="327" t="s">
        <v>860</v>
      </c>
      <c r="D56" s="203" t="s">
        <v>861</v>
      </c>
      <c r="E56" s="204">
        <v>24</v>
      </c>
      <c r="F56" s="213">
        <v>80</v>
      </c>
      <c r="G56" s="204" t="s">
        <v>646</v>
      </c>
      <c r="H56" s="200"/>
      <c r="I56" s="200"/>
      <c r="J56" s="182"/>
      <c r="K56" s="202"/>
      <c r="L56" s="182"/>
      <c r="M56" s="277"/>
      <c r="N56" s="278"/>
      <c r="O56" s="278"/>
      <c r="P56" s="279"/>
    </row>
    <row r="57" spans="1:16" ht="47.1" customHeight="1">
      <c r="A57" s="9"/>
      <c r="B57" s="200"/>
      <c r="C57" s="205"/>
      <c r="D57" s="203"/>
      <c r="E57" s="204"/>
      <c r="F57" s="201"/>
      <c r="G57" s="182"/>
      <c r="H57" s="200"/>
      <c r="I57" s="200"/>
      <c r="J57" s="182"/>
      <c r="K57" s="202"/>
      <c r="L57" s="202"/>
      <c r="M57" s="277"/>
      <c r="N57" s="278"/>
      <c r="O57" s="278"/>
      <c r="P57" s="279"/>
    </row>
    <row r="58" spans="1:16" ht="47.1" customHeight="1">
      <c r="A58" s="9"/>
      <c r="B58" s="200"/>
      <c r="C58" s="205"/>
      <c r="D58" s="184"/>
      <c r="E58" s="204"/>
      <c r="F58" s="201"/>
      <c r="G58" s="182"/>
      <c r="H58" s="200"/>
      <c r="I58" s="200"/>
      <c r="J58" s="182"/>
      <c r="K58" s="202"/>
      <c r="L58" s="202"/>
      <c r="M58" s="277"/>
      <c r="N58" s="278"/>
      <c r="O58" s="278"/>
      <c r="P58" s="279"/>
    </row>
    <row r="59" spans="1:16" ht="47.1" customHeight="1">
      <c r="A59" s="9"/>
      <c r="B59" s="200"/>
      <c r="C59" s="205"/>
      <c r="D59" s="184"/>
      <c r="E59" s="204"/>
      <c r="F59" s="201"/>
      <c r="G59" s="182"/>
      <c r="H59" s="200"/>
      <c r="I59" s="200"/>
      <c r="J59" s="182"/>
      <c r="K59" s="202"/>
      <c r="L59" s="202"/>
      <c r="M59" s="277"/>
      <c r="N59" s="278"/>
      <c r="O59" s="278"/>
      <c r="P59" s="279"/>
    </row>
    <row r="60" spans="1:16" ht="47.1" customHeight="1">
      <c r="A60" s="9"/>
      <c r="B60" s="200"/>
      <c r="C60" s="205"/>
      <c r="D60" s="203"/>
      <c r="E60" s="204"/>
      <c r="F60" s="201"/>
      <c r="G60" s="182"/>
      <c r="H60" s="200"/>
      <c r="I60" s="200"/>
      <c r="J60" s="182"/>
      <c r="K60" s="202"/>
      <c r="L60" s="202"/>
      <c r="M60" s="277"/>
      <c r="N60" s="278"/>
      <c r="O60" s="278"/>
      <c r="P60" s="279"/>
    </row>
    <row r="61" spans="1:16" ht="47.1" customHeight="1">
      <c r="A61" s="9"/>
      <c r="B61" s="200"/>
      <c r="C61" s="205"/>
      <c r="D61" s="203"/>
      <c r="E61" s="204"/>
      <c r="F61" s="201"/>
      <c r="G61" s="182"/>
      <c r="H61" s="200"/>
      <c r="I61" s="200"/>
      <c r="J61" s="182"/>
      <c r="K61" s="202"/>
      <c r="L61" s="202"/>
      <c r="M61" s="277"/>
      <c r="N61" s="278"/>
      <c r="O61" s="278"/>
      <c r="P61" s="279"/>
    </row>
  </sheetData>
  <mergeCells count="37">
    <mergeCell ref="A4:A7"/>
    <mergeCell ref="C4:C5"/>
    <mergeCell ref="D4:D5"/>
    <mergeCell ref="E4:E7"/>
    <mergeCell ref="F4:H7"/>
    <mergeCell ref="B5:B6"/>
    <mergeCell ref="C6:C7"/>
    <mergeCell ref="D6:D7"/>
    <mergeCell ref="A2:A3"/>
    <mergeCell ref="B2:B3"/>
    <mergeCell ref="C2:C3"/>
    <mergeCell ref="D2:D3"/>
    <mergeCell ref="E2:E3"/>
    <mergeCell ref="J6:K6"/>
    <mergeCell ref="L6:M6"/>
    <mergeCell ref="J7:K7"/>
    <mergeCell ref="L7:M7"/>
    <mergeCell ref="J2:K2"/>
    <mergeCell ref="L2:M2"/>
    <mergeCell ref="J3:K3"/>
    <mergeCell ref="L3:M3"/>
    <mergeCell ref="B1:O1"/>
    <mergeCell ref="P1:P4"/>
    <mergeCell ref="F2:H3"/>
    <mergeCell ref="J4:K5"/>
    <mergeCell ref="L4:M5"/>
    <mergeCell ref="I8:I9"/>
    <mergeCell ref="J8:L8"/>
    <mergeCell ref="M8:P9"/>
    <mergeCell ref="A8:A9"/>
    <mergeCell ref="B8:B9"/>
    <mergeCell ref="C8:C9"/>
    <mergeCell ref="D8:D9"/>
    <mergeCell ref="E8:E9"/>
    <mergeCell ref="F8:F9"/>
    <mergeCell ref="G8:G9"/>
    <mergeCell ref="H8:H9"/>
  </mergeCells>
  <pageMargins left="0.70866141732283472" right="0.70866141732283472" top="0.74803149606299213" bottom="0.74803149606299213" header="0.31496062992125984" footer="0.31496062992125984"/>
  <pageSetup paperSize="9" scale="55" fitToWidth="0" orientation="landscape" r:id="rId1"/>
  <headerFooter>
    <oddHeader>&amp;L&amp;14 &amp;11
                     &amp;"GE Inspira,Regular"&amp;P / &amp;N</oddHeader>
    <oddFooter xml:space="preserve">&amp;L&amp;"GE Inspira,Regular"&amp;12                                                     
Hazırlayan:    Halit KAPLAN
&amp;9Prapared by:
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558A-2C60-437C-8958-AB991B8A4D20}">
  <sheetPr codeName="Sheet7"/>
  <dimension ref="A1:P198"/>
  <sheetViews>
    <sheetView zoomScale="85" zoomScaleNormal="85" workbookViewId="0">
      <selection activeCell="H18" sqref="H18"/>
    </sheetView>
  </sheetViews>
  <sheetFormatPr defaultRowHeight="15"/>
  <cols>
    <col min="1" max="1" width="6.85546875" style="360" customWidth="1"/>
    <col min="2" max="2" width="15.28515625" style="360" customWidth="1"/>
    <col min="3" max="3" width="20" style="360" customWidth="1"/>
    <col min="4" max="4" width="47.5703125" style="360" bestFit="1" customWidth="1"/>
    <col min="5" max="6" width="9.140625" style="360"/>
    <col min="7" max="7" width="10.42578125" style="360" customWidth="1"/>
    <col min="8" max="8" width="12.7109375" style="360" customWidth="1"/>
    <col min="9" max="9" width="14.28515625" style="360" customWidth="1"/>
    <col min="10" max="10" width="12.7109375" style="360" customWidth="1"/>
    <col min="11" max="11" width="14" style="360" bestFit="1" customWidth="1"/>
    <col min="12" max="12" width="11.5703125" style="360" customWidth="1"/>
    <col min="13" max="13" width="10.42578125" style="361" bestFit="1" customWidth="1"/>
    <col min="14" max="14" width="10.85546875" style="361" bestFit="1" customWidth="1"/>
    <col min="15" max="15" width="8.5703125" style="361" customWidth="1"/>
    <col min="16" max="16" width="21.7109375" style="361" customWidth="1"/>
    <col min="17" max="16384" width="9.140625" style="360"/>
  </cols>
  <sheetData>
    <row r="1" spans="1:16" customFormat="1" ht="40.5" customHeight="1">
      <c r="A1" s="6"/>
      <c r="B1" s="511" t="s">
        <v>0</v>
      </c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2"/>
      <c r="P1" s="513"/>
    </row>
    <row r="2" spans="1:16" customFormat="1" ht="15" customHeight="1">
      <c r="A2" s="516" t="s">
        <v>16</v>
      </c>
      <c r="B2" s="518">
        <f>'ÇALIŞMA SAYFASI'!C2</f>
        <v>46049</v>
      </c>
      <c r="C2" s="503" t="s">
        <v>11</v>
      </c>
      <c r="D2" s="505" t="str">
        <f>'ÇALIŞMA SAYFASI'!E2</f>
        <v>PA600-44&amp;53</v>
      </c>
      <c r="E2" s="503" t="s">
        <v>14</v>
      </c>
      <c r="F2" s="505" t="str">
        <f>'ÇALIŞMA SAYFASI'!G2</f>
        <v>SONELGAZ</v>
      </c>
      <c r="G2" s="505"/>
      <c r="H2" s="505"/>
      <c r="I2" s="1"/>
      <c r="J2" s="534" t="s">
        <v>526</v>
      </c>
      <c r="K2" s="535"/>
      <c r="L2" s="526" t="str">
        <f>'ÇALIŞMA SAYFASI'!M2</f>
        <v>T01140490</v>
      </c>
      <c r="M2" s="527"/>
      <c r="N2" s="1"/>
      <c r="O2" s="1"/>
      <c r="P2" s="514"/>
    </row>
    <row r="3" spans="1:16" customFormat="1">
      <c r="A3" s="517"/>
      <c r="B3" s="519"/>
      <c r="C3" s="540"/>
      <c r="D3" s="541"/>
      <c r="E3" s="540"/>
      <c r="F3" s="541"/>
      <c r="G3" s="541"/>
      <c r="H3" s="541"/>
      <c r="I3" s="1"/>
      <c r="J3" s="534" t="s">
        <v>416</v>
      </c>
      <c r="K3" s="535"/>
      <c r="L3" s="526" t="str">
        <f>'ÇALIŞMA SAYFASI'!M3</f>
        <v>T01128380</v>
      </c>
      <c r="M3" s="527"/>
      <c r="N3" s="1"/>
      <c r="O3" s="1"/>
      <c r="P3" s="514"/>
    </row>
    <row r="4" spans="1:16" customFormat="1" ht="15" customHeight="1">
      <c r="A4" s="546" t="s">
        <v>25</v>
      </c>
      <c r="B4" s="1"/>
      <c r="C4" s="540" t="s">
        <v>12</v>
      </c>
      <c r="D4" s="541">
        <f>'ÇALIŞMA SAYFASI'!E4</f>
        <v>120</v>
      </c>
      <c r="E4" s="542" t="s">
        <v>15</v>
      </c>
      <c r="F4" s="541" t="str">
        <f>'ÇALIŞMA SAYFASI'!G4</f>
        <v>ALGERIA</v>
      </c>
      <c r="G4" s="541"/>
      <c r="H4" s="541"/>
      <c r="I4" s="1"/>
      <c r="J4" s="536" t="s">
        <v>20</v>
      </c>
      <c r="K4" s="537"/>
      <c r="L4" s="520" t="str">
        <f>'ÇALIŞMA SAYFASI'!M4</f>
        <v>T01128371</v>
      </c>
      <c r="M4" s="522"/>
      <c r="N4" s="1"/>
      <c r="O4" s="10"/>
      <c r="P4" s="515"/>
    </row>
    <row r="5" spans="1:16" customFormat="1" ht="15" customHeight="1">
      <c r="A5" s="547"/>
      <c r="B5" s="549"/>
      <c r="C5" s="540"/>
      <c r="D5" s="541"/>
      <c r="E5" s="542"/>
      <c r="F5" s="541"/>
      <c r="G5" s="541"/>
      <c r="H5" s="541"/>
      <c r="I5" s="1"/>
      <c r="J5" s="538"/>
      <c r="K5" s="539"/>
      <c r="L5" s="523"/>
      <c r="M5" s="525"/>
      <c r="N5" s="1"/>
      <c r="O5" s="10"/>
      <c r="P5" s="4"/>
    </row>
    <row r="6" spans="1:16" customFormat="1" ht="15" customHeight="1">
      <c r="A6" s="547"/>
      <c r="B6" s="549"/>
      <c r="C6" s="540" t="s">
        <v>13</v>
      </c>
      <c r="D6" s="541">
        <f>'ÇALIŞMA SAYFASI'!E6</f>
        <v>220</v>
      </c>
      <c r="E6" s="542"/>
      <c r="F6" s="541"/>
      <c r="G6" s="541"/>
      <c r="H6" s="541"/>
      <c r="I6" s="1"/>
      <c r="J6" s="543" t="s">
        <v>21</v>
      </c>
      <c r="K6" s="544"/>
      <c r="L6" s="506"/>
      <c r="M6" s="507"/>
      <c r="N6" s="256" t="s">
        <v>23</v>
      </c>
      <c r="O6" s="8"/>
      <c r="P6" s="4"/>
    </row>
    <row r="7" spans="1:16" customFormat="1">
      <c r="A7" s="548"/>
      <c r="B7" s="2"/>
      <c r="C7" s="540"/>
      <c r="D7" s="541"/>
      <c r="E7" s="542"/>
      <c r="F7" s="541"/>
      <c r="G7" s="541"/>
      <c r="H7" s="541"/>
      <c r="I7" s="2"/>
      <c r="J7" s="543" t="s">
        <v>22</v>
      </c>
      <c r="K7" s="544"/>
      <c r="L7" s="545"/>
      <c r="M7" s="556"/>
      <c r="N7" s="256" t="s">
        <v>24</v>
      </c>
      <c r="O7" s="8"/>
      <c r="P7" s="4"/>
    </row>
    <row r="8" spans="1:16" customFormat="1" ht="30" customHeight="1">
      <c r="A8" s="528" t="s">
        <v>18</v>
      </c>
      <c r="B8" s="553" t="s">
        <v>19</v>
      </c>
      <c r="C8" s="542" t="s">
        <v>17</v>
      </c>
      <c r="D8" s="554" t="s">
        <v>1</v>
      </c>
      <c r="E8" s="554" t="s">
        <v>6</v>
      </c>
      <c r="F8" s="554" t="s">
        <v>3</v>
      </c>
      <c r="G8" s="554" t="s">
        <v>5</v>
      </c>
      <c r="H8" s="555" t="s">
        <v>391</v>
      </c>
      <c r="I8" s="555" t="s">
        <v>390</v>
      </c>
      <c r="J8" s="554" t="s">
        <v>7</v>
      </c>
      <c r="K8" s="554"/>
      <c r="L8" s="554"/>
      <c r="M8" s="554" t="s">
        <v>10</v>
      </c>
      <c r="N8" s="554"/>
      <c r="O8" s="554"/>
      <c r="P8" s="554"/>
    </row>
    <row r="9" spans="1:16" customFormat="1" ht="34.5" customHeight="1">
      <c r="A9" s="530"/>
      <c r="B9" s="553"/>
      <c r="C9" s="542"/>
      <c r="D9" s="554"/>
      <c r="E9" s="554"/>
      <c r="F9" s="554"/>
      <c r="G9" s="554"/>
      <c r="H9" s="542"/>
      <c r="I9" s="542"/>
      <c r="J9" s="11" t="s">
        <v>8</v>
      </c>
      <c r="K9" s="11" t="s">
        <v>532</v>
      </c>
      <c r="L9" s="11" t="s">
        <v>9</v>
      </c>
      <c r="M9" s="554"/>
      <c r="N9" s="554"/>
      <c r="O9" s="554"/>
      <c r="P9" s="554"/>
    </row>
    <row r="10" spans="1:16" ht="47.1" customHeight="1">
      <c r="A10" s="358">
        <v>1</v>
      </c>
      <c r="B10" s="329" t="s">
        <v>663</v>
      </c>
      <c r="C10" s="329" t="s">
        <v>933</v>
      </c>
      <c r="D10" s="353" t="s">
        <v>934</v>
      </c>
      <c r="E10" s="355">
        <v>24</v>
      </c>
      <c r="F10" s="356">
        <v>1</v>
      </c>
      <c r="G10" s="355" t="s">
        <v>646</v>
      </c>
      <c r="H10" s="204"/>
      <c r="I10" s="204"/>
      <c r="J10" s="204" t="s">
        <v>1064</v>
      </c>
      <c r="K10" s="207"/>
      <c r="L10" s="204"/>
      <c r="M10" s="359" t="s">
        <v>1062</v>
      </c>
      <c r="N10" s="282"/>
      <c r="O10" s="282"/>
      <c r="P10" s="283"/>
    </row>
    <row r="11" spans="1:16" ht="47.1" customHeight="1">
      <c r="A11" s="358">
        <v>2</v>
      </c>
      <c r="B11" s="206" t="s">
        <v>643</v>
      </c>
      <c r="C11" s="206" t="s">
        <v>705</v>
      </c>
      <c r="D11" s="203" t="s">
        <v>706</v>
      </c>
      <c r="E11" s="204">
        <v>24</v>
      </c>
      <c r="F11" s="213">
        <v>6</v>
      </c>
      <c r="G11" s="204" t="s">
        <v>646</v>
      </c>
      <c r="H11" s="206"/>
      <c r="I11" s="206"/>
      <c r="J11" s="204" t="s">
        <v>1064</v>
      </c>
      <c r="K11" s="207"/>
      <c r="L11" s="204"/>
      <c r="M11" s="359"/>
      <c r="N11" s="282"/>
      <c r="O11" s="282"/>
      <c r="P11" s="283"/>
    </row>
    <row r="12" spans="1:16" ht="47.1" customHeight="1">
      <c r="A12" s="358">
        <v>3</v>
      </c>
      <c r="B12" s="206" t="s">
        <v>647</v>
      </c>
      <c r="C12" s="206" t="s">
        <v>834</v>
      </c>
      <c r="D12" s="203" t="s">
        <v>835</v>
      </c>
      <c r="E12" s="204">
        <v>24</v>
      </c>
      <c r="F12" s="213">
        <v>6</v>
      </c>
      <c r="G12" s="204" t="s">
        <v>646</v>
      </c>
      <c r="H12" s="206"/>
      <c r="I12" s="206"/>
      <c r="J12" s="204" t="s">
        <v>1064</v>
      </c>
      <c r="K12" s="207"/>
      <c r="L12" s="204"/>
      <c r="M12" s="359"/>
      <c r="N12" s="282"/>
      <c r="O12" s="282"/>
      <c r="P12" s="283"/>
    </row>
    <row r="13" spans="1:16" ht="47.1" customHeight="1">
      <c r="A13" s="358">
        <v>4</v>
      </c>
      <c r="B13" s="206" t="s">
        <v>651</v>
      </c>
      <c r="C13" s="206" t="s">
        <v>428</v>
      </c>
      <c r="D13" s="203" t="s">
        <v>935</v>
      </c>
      <c r="E13" s="204">
        <v>24</v>
      </c>
      <c r="F13" s="213">
        <v>1</v>
      </c>
      <c r="G13" s="204" t="s">
        <v>646</v>
      </c>
      <c r="H13" s="206"/>
      <c r="I13" s="206"/>
      <c r="J13" s="204" t="s">
        <v>1064</v>
      </c>
      <c r="K13" s="207"/>
      <c r="L13" s="204"/>
      <c r="M13" s="359"/>
      <c r="N13" s="282"/>
      <c r="O13" s="282"/>
      <c r="P13" s="283"/>
    </row>
    <row r="14" spans="1:16" ht="47.1" customHeight="1">
      <c r="A14" s="358">
        <v>5</v>
      </c>
      <c r="B14" s="203" t="s">
        <v>654</v>
      </c>
      <c r="C14" s="327" t="s">
        <v>838</v>
      </c>
      <c r="D14" s="203" t="s">
        <v>839</v>
      </c>
      <c r="E14" s="204">
        <v>24</v>
      </c>
      <c r="F14" s="213">
        <v>6</v>
      </c>
      <c r="G14" s="204" t="s">
        <v>646</v>
      </c>
      <c r="H14" s="206"/>
      <c r="I14" s="206"/>
      <c r="J14" s="204" t="s">
        <v>1064</v>
      </c>
      <c r="K14" s="207"/>
      <c r="L14" s="204"/>
      <c r="M14" s="359"/>
      <c r="N14" s="282"/>
      <c r="O14" s="282"/>
      <c r="P14" s="283"/>
    </row>
    <row r="15" spans="1:16" ht="47.1" customHeight="1">
      <c r="A15" s="358">
        <v>6</v>
      </c>
      <c r="B15" s="329" t="s">
        <v>665</v>
      </c>
      <c r="C15" s="357" t="s">
        <v>936</v>
      </c>
      <c r="D15" s="353" t="s">
        <v>937</v>
      </c>
      <c r="E15" s="355">
        <v>24</v>
      </c>
      <c r="F15" s="356">
        <v>2</v>
      </c>
      <c r="G15" s="355" t="s">
        <v>646</v>
      </c>
      <c r="H15" s="206"/>
      <c r="I15" s="206"/>
      <c r="J15" s="204" t="s">
        <v>1064</v>
      </c>
      <c r="K15" s="207"/>
      <c r="L15" s="204"/>
      <c r="M15" s="359" t="s">
        <v>1062</v>
      </c>
      <c r="N15" s="282"/>
      <c r="O15" s="282"/>
      <c r="P15" s="283"/>
    </row>
    <row r="16" spans="1:16" ht="47.1" customHeight="1">
      <c r="A16" s="358">
        <v>7</v>
      </c>
      <c r="B16" s="206" t="s">
        <v>643</v>
      </c>
      <c r="C16" s="328" t="s">
        <v>705</v>
      </c>
      <c r="D16" s="203" t="s">
        <v>706</v>
      </c>
      <c r="E16" s="204">
        <v>24</v>
      </c>
      <c r="F16" s="213">
        <v>12</v>
      </c>
      <c r="G16" s="204" t="s">
        <v>646</v>
      </c>
      <c r="H16" s="206"/>
      <c r="I16" s="206"/>
      <c r="J16" s="204" t="s">
        <v>1064</v>
      </c>
      <c r="K16" s="207"/>
      <c r="L16" s="204"/>
      <c r="M16" s="359"/>
      <c r="N16" s="282"/>
      <c r="O16" s="282"/>
      <c r="P16" s="283"/>
    </row>
    <row r="17" spans="1:16" ht="47.1" customHeight="1">
      <c r="A17" s="358">
        <v>8</v>
      </c>
      <c r="B17" s="206" t="s">
        <v>647</v>
      </c>
      <c r="C17" s="206" t="s">
        <v>834</v>
      </c>
      <c r="D17" s="203" t="s">
        <v>835</v>
      </c>
      <c r="E17" s="204">
        <v>24</v>
      </c>
      <c r="F17" s="213">
        <v>12</v>
      </c>
      <c r="G17" s="204" t="s">
        <v>646</v>
      </c>
      <c r="H17" s="206"/>
      <c r="I17" s="206"/>
      <c r="J17" s="204" t="s">
        <v>1064</v>
      </c>
      <c r="K17" s="207"/>
      <c r="L17" s="204"/>
      <c r="M17" s="359"/>
      <c r="N17" s="282"/>
      <c r="O17" s="282"/>
      <c r="P17" s="283"/>
    </row>
    <row r="18" spans="1:16" ht="47.1" customHeight="1">
      <c r="A18" s="358">
        <v>9</v>
      </c>
      <c r="B18" s="206" t="s">
        <v>651</v>
      </c>
      <c r="C18" s="206" t="s">
        <v>938</v>
      </c>
      <c r="D18" s="203" t="s">
        <v>939</v>
      </c>
      <c r="E18" s="204">
        <v>24</v>
      </c>
      <c r="F18" s="213">
        <v>2</v>
      </c>
      <c r="G18" s="204" t="s">
        <v>646</v>
      </c>
      <c r="H18" s="206"/>
      <c r="I18" s="206"/>
      <c r="J18" s="204" t="s">
        <v>1064</v>
      </c>
      <c r="K18" s="207"/>
      <c r="L18" s="204"/>
      <c r="M18" s="359"/>
      <c r="N18" s="282"/>
      <c r="O18" s="282"/>
      <c r="P18" s="283"/>
    </row>
    <row r="19" spans="1:16" ht="47.1" customHeight="1">
      <c r="A19" s="358">
        <v>10</v>
      </c>
      <c r="B19" s="206" t="s">
        <v>654</v>
      </c>
      <c r="C19" s="206" t="s">
        <v>838</v>
      </c>
      <c r="D19" s="203" t="s">
        <v>839</v>
      </c>
      <c r="E19" s="204">
        <v>24</v>
      </c>
      <c r="F19" s="213">
        <v>12</v>
      </c>
      <c r="G19" s="204" t="s">
        <v>646</v>
      </c>
      <c r="H19" s="206"/>
      <c r="I19" s="206"/>
      <c r="J19" s="204" t="s">
        <v>1064</v>
      </c>
      <c r="K19" s="207"/>
      <c r="L19" s="204"/>
      <c r="M19" s="359"/>
      <c r="N19" s="282"/>
      <c r="O19" s="282"/>
      <c r="P19" s="283"/>
    </row>
    <row r="20" spans="1:16" ht="47.1" customHeight="1">
      <c r="A20" s="358">
        <v>11</v>
      </c>
      <c r="B20" s="206" t="s">
        <v>657</v>
      </c>
      <c r="C20" s="206" t="s">
        <v>940</v>
      </c>
      <c r="D20" s="203" t="s">
        <v>941</v>
      </c>
      <c r="E20" s="204">
        <v>24</v>
      </c>
      <c r="F20" s="213">
        <v>2</v>
      </c>
      <c r="G20" s="204" t="s">
        <v>646</v>
      </c>
      <c r="H20" s="206"/>
      <c r="I20" s="206"/>
      <c r="J20" s="204" t="s">
        <v>1064</v>
      </c>
      <c r="K20" s="207"/>
      <c r="L20" s="204"/>
      <c r="M20" s="359"/>
      <c r="N20" s="282"/>
      <c r="O20" s="282"/>
      <c r="P20" s="283"/>
    </row>
    <row r="21" spans="1:16" ht="47.1" customHeight="1">
      <c r="A21" s="358">
        <v>12</v>
      </c>
      <c r="B21" s="206" t="s">
        <v>669</v>
      </c>
      <c r="C21" s="206" t="s">
        <v>942</v>
      </c>
      <c r="D21" s="203" t="s">
        <v>943</v>
      </c>
      <c r="E21" s="204">
        <v>24</v>
      </c>
      <c r="F21" s="213">
        <v>2</v>
      </c>
      <c r="G21" s="204" t="s">
        <v>646</v>
      </c>
      <c r="H21" s="206"/>
      <c r="I21" s="206"/>
      <c r="J21" s="204" t="s">
        <v>1064</v>
      </c>
      <c r="K21" s="207"/>
      <c r="L21" s="204"/>
      <c r="M21" s="359"/>
      <c r="N21" s="282"/>
      <c r="O21" s="282"/>
      <c r="P21" s="283"/>
    </row>
    <row r="22" spans="1:16" ht="47.1" customHeight="1">
      <c r="A22" s="358">
        <v>13</v>
      </c>
      <c r="B22" s="329" t="s">
        <v>944</v>
      </c>
      <c r="C22" s="329" t="s">
        <v>945</v>
      </c>
      <c r="D22" s="353" t="s">
        <v>946</v>
      </c>
      <c r="E22" s="355">
        <v>24</v>
      </c>
      <c r="F22" s="356">
        <v>12</v>
      </c>
      <c r="G22" s="355" t="s">
        <v>646</v>
      </c>
      <c r="H22" s="206"/>
      <c r="I22" s="206"/>
      <c r="J22" s="204" t="s">
        <v>1064</v>
      </c>
      <c r="K22" s="207"/>
      <c r="L22" s="204"/>
      <c r="M22" s="359" t="s">
        <v>1062</v>
      </c>
      <c r="N22" s="282"/>
      <c r="O22" s="282"/>
      <c r="P22" s="283"/>
    </row>
    <row r="23" spans="1:16" ht="47.1" customHeight="1">
      <c r="A23" s="358">
        <v>14</v>
      </c>
      <c r="B23" s="206" t="s">
        <v>643</v>
      </c>
      <c r="C23" s="206" t="s">
        <v>929</v>
      </c>
      <c r="D23" s="203" t="s">
        <v>930</v>
      </c>
      <c r="E23" s="204">
        <v>24</v>
      </c>
      <c r="F23" s="213">
        <v>12</v>
      </c>
      <c r="G23" s="204" t="s">
        <v>646</v>
      </c>
      <c r="H23" s="206"/>
      <c r="I23" s="206"/>
      <c r="J23" s="204" t="s">
        <v>1064</v>
      </c>
      <c r="K23" s="207"/>
      <c r="L23" s="204"/>
      <c r="M23" s="359"/>
      <c r="N23" s="282"/>
      <c r="O23" s="282"/>
      <c r="P23" s="283"/>
    </row>
    <row r="24" spans="1:16" ht="47.1" customHeight="1">
      <c r="A24" s="358">
        <v>15</v>
      </c>
      <c r="B24" s="329" t="s">
        <v>647</v>
      </c>
      <c r="C24" s="329" t="s">
        <v>947</v>
      </c>
      <c r="D24" s="353" t="s">
        <v>948</v>
      </c>
      <c r="E24" s="355">
        <v>24</v>
      </c>
      <c r="F24" s="356">
        <v>24</v>
      </c>
      <c r="G24" s="355" t="s">
        <v>646</v>
      </c>
      <c r="H24" s="206"/>
      <c r="I24" s="206"/>
      <c r="J24" s="204" t="s">
        <v>1064</v>
      </c>
      <c r="K24" s="207"/>
      <c r="L24" s="204"/>
      <c r="M24" s="359"/>
      <c r="N24" s="282"/>
      <c r="O24" s="282"/>
      <c r="P24" s="283"/>
    </row>
    <row r="25" spans="1:16" ht="47.1" customHeight="1">
      <c r="A25" s="358">
        <v>16</v>
      </c>
      <c r="B25" s="206" t="s">
        <v>651</v>
      </c>
      <c r="C25" s="206" t="s">
        <v>782</v>
      </c>
      <c r="D25" s="203" t="s">
        <v>783</v>
      </c>
      <c r="E25" s="204">
        <v>24</v>
      </c>
      <c r="F25" s="213">
        <v>24</v>
      </c>
      <c r="G25" s="204" t="s">
        <v>646</v>
      </c>
      <c r="H25" s="206"/>
      <c r="I25" s="206"/>
      <c r="J25" s="204" t="s">
        <v>1064</v>
      </c>
      <c r="K25" s="207"/>
      <c r="L25" s="204"/>
      <c r="M25" s="359"/>
      <c r="N25" s="282"/>
      <c r="O25" s="282"/>
      <c r="P25" s="283"/>
    </row>
    <row r="26" spans="1:16" ht="47.1" customHeight="1">
      <c r="A26" s="358">
        <v>17</v>
      </c>
      <c r="B26" s="206" t="s">
        <v>657</v>
      </c>
      <c r="C26" s="206" t="s">
        <v>818</v>
      </c>
      <c r="D26" s="203" t="s">
        <v>819</v>
      </c>
      <c r="E26" s="204">
        <v>24</v>
      </c>
      <c r="F26" s="213">
        <v>24</v>
      </c>
      <c r="G26" s="204" t="s">
        <v>646</v>
      </c>
      <c r="H26" s="206"/>
      <c r="I26" s="206"/>
      <c r="J26" s="204" t="s">
        <v>1064</v>
      </c>
      <c r="K26" s="207"/>
      <c r="L26" s="204"/>
      <c r="M26" s="359"/>
      <c r="N26" s="282"/>
      <c r="O26" s="282"/>
      <c r="P26" s="283"/>
    </row>
    <row r="27" spans="1:16" ht="47.1" customHeight="1">
      <c r="A27" s="358">
        <v>18</v>
      </c>
      <c r="B27" s="329" t="s">
        <v>949</v>
      </c>
      <c r="C27" s="329" t="s">
        <v>434</v>
      </c>
      <c r="D27" s="353" t="s">
        <v>950</v>
      </c>
      <c r="E27" s="355">
        <v>24</v>
      </c>
      <c r="F27" s="356">
        <v>40</v>
      </c>
      <c r="G27" s="355" t="s">
        <v>646</v>
      </c>
      <c r="H27" s="206"/>
      <c r="I27" s="206"/>
      <c r="J27" s="204" t="s">
        <v>1064</v>
      </c>
      <c r="K27" s="207"/>
      <c r="L27" s="204"/>
      <c r="M27" s="359" t="s">
        <v>1062</v>
      </c>
      <c r="N27" s="282"/>
      <c r="O27" s="282"/>
      <c r="P27" s="283"/>
    </row>
    <row r="28" spans="1:16" ht="47.1" customHeight="1">
      <c r="A28" s="358">
        <v>19</v>
      </c>
      <c r="B28" s="206" t="s">
        <v>643</v>
      </c>
      <c r="C28" s="206" t="s">
        <v>931</v>
      </c>
      <c r="D28" s="203" t="s">
        <v>932</v>
      </c>
      <c r="E28" s="204">
        <v>24</v>
      </c>
      <c r="F28" s="213">
        <v>40</v>
      </c>
      <c r="G28" s="204" t="s">
        <v>646</v>
      </c>
      <c r="H28" s="206"/>
      <c r="I28" s="206"/>
      <c r="J28" s="204" t="s">
        <v>1064</v>
      </c>
      <c r="K28" s="207"/>
      <c r="L28" s="204"/>
      <c r="M28" s="359"/>
      <c r="N28" s="282"/>
      <c r="O28" s="282"/>
      <c r="P28" s="283"/>
    </row>
    <row r="29" spans="1:16" ht="47.1" customHeight="1">
      <c r="A29" s="358">
        <v>20</v>
      </c>
      <c r="B29" s="206" t="s">
        <v>647</v>
      </c>
      <c r="C29" s="206" t="s">
        <v>790</v>
      </c>
      <c r="D29" s="203" t="s">
        <v>791</v>
      </c>
      <c r="E29" s="204">
        <v>24</v>
      </c>
      <c r="F29" s="213">
        <v>80</v>
      </c>
      <c r="G29" s="204" t="s">
        <v>646</v>
      </c>
      <c r="H29" s="206"/>
      <c r="I29" s="206"/>
      <c r="J29" s="204" t="s">
        <v>1064</v>
      </c>
      <c r="K29" s="207"/>
      <c r="L29" s="204"/>
      <c r="M29" s="359"/>
      <c r="N29" s="282"/>
      <c r="O29" s="282"/>
      <c r="P29" s="283"/>
    </row>
    <row r="30" spans="1:16" ht="47.1" customHeight="1">
      <c r="A30" s="358">
        <v>21</v>
      </c>
      <c r="B30" s="206" t="s">
        <v>651</v>
      </c>
      <c r="C30" s="206" t="s">
        <v>703</v>
      </c>
      <c r="D30" s="203" t="s">
        <v>704</v>
      </c>
      <c r="E30" s="204">
        <v>24</v>
      </c>
      <c r="F30" s="213">
        <v>80</v>
      </c>
      <c r="G30" s="204" t="s">
        <v>646</v>
      </c>
      <c r="H30" s="206"/>
      <c r="I30" s="206"/>
      <c r="J30" s="204" t="s">
        <v>1064</v>
      </c>
      <c r="K30" s="207"/>
      <c r="L30" s="204"/>
      <c r="M30" s="359"/>
      <c r="N30" s="282"/>
      <c r="O30" s="282"/>
      <c r="P30" s="283"/>
    </row>
    <row r="31" spans="1:16" ht="47.1" customHeight="1">
      <c r="A31" s="358">
        <v>22</v>
      </c>
      <c r="B31" s="329" t="s">
        <v>951</v>
      </c>
      <c r="C31" s="205" t="s">
        <v>952</v>
      </c>
      <c r="D31" s="353" t="s">
        <v>953</v>
      </c>
      <c r="E31" s="355">
        <v>24</v>
      </c>
      <c r="F31" s="356">
        <v>23</v>
      </c>
      <c r="G31" s="355" t="s">
        <v>646</v>
      </c>
      <c r="H31" s="206"/>
      <c r="I31" s="206"/>
      <c r="J31" s="204" t="s">
        <v>1065</v>
      </c>
      <c r="K31" s="207"/>
      <c r="L31" s="204"/>
      <c r="M31" s="359" t="s">
        <v>1062</v>
      </c>
      <c r="N31" s="282"/>
      <c r="O31" s="282"/>
      <c r="P31" s="283"/>
    </row>
    <row r="32" spans="1:16" ht="47.1" customHeight="1">
      <c r="A32" s="358">
        <v>23</v>
      </c>
      <c r="B32" s="206" t="s">
        <v>643</v>
      </c>
      <c r="C32" s="327" t="s">
        <v>672</v>
      </c>
      <c r="D32" s="203" t="s">
        <v>673</v>
      </c>
      <c r="E32" s="204">
        <v>24</v>
      </c>
      <c r="F32" s="213">
        <v>23</v>
      </c>
      <c r="G32" s="204" t="s">
        <v>646</v>
      </c>
      <c r="H32" s="206"/>
      <c r="I32" s="206"/>
      <c r="J32" s="204" t="s">
        <v>1065</v>
      </c>
      <c r="K32" s="207"/>
      <c r="L32" s="204"/>
      <c r="M32" s="359"/>
      <c r="N32" s="282"/>
      <c r="O32" s="282"/>
      <c r="P32" s="283"/>
    </row>
    <row r="33" spans="1:16" ht="47.1" customHeight="1">
      <c r="A33" s="358">
        <v>24</v>
      </c>
      <c r="B33" s="206" t="s">
        <v>647</v>
      </c>
      <c r="C33" s="327" t="s">
        <v>794</v>
      </c>
      <c r="D33" s="203" t="s">
        <v>795</v>
      </c>
      <c r="E33" s="204">
        <v>24</v>
      </c>
      <c r="F33" s="213">
        <v>92</v>
      </c>
      <c r="G33" s="204" t="s">
        <v>646</v>
      </c>
      <c r="H33" s="206"/>
      <c r="I33" s="206"/>
      <c r="J33" s="204" t="s">
        <v>1065</v>
      </c>
      <c r="K33" s="207"/>
      <c r="L33" s="204"/>
      <c r="M33" s="359"/>
      <c r="N33" s="282"/>
      <c r="O33" s="282"/>
      <c r="P33" s="283"/>
    </row>
    <row r="34" spans="1:16" ht="47.1" customHeight="1">
      <c r="A34" s="358">
        <v>25</v>
      </c>
      <c r="B34" s="206" t="s">
        <v>648</v>
      </c>
      <c r="C34" s="327" t="s">
        <v>705</v>
      </c>
      <c r="D34" s="203" t="s">
        <v>706</v>
      </c>
      <c r="E34" s="204">
        <v>24</v>
      </c>
      <c r="F34" s="213">
        <v>92</v>
      </c>
      <c r="G34" s="204" t="s">
        <v>646</v>
      </c>
      <c r="H34" s="206"/>
      <c r="I34" s="206"/>
      <c r="J34" s="204" t="s">
        <v>1065</v>
      </c>
      <c r="K34" s="207"/>
      <c r="L34" s="204"/>
      <c r="M34" s="359"/>
      <c r="N34" s="282"/>
      <c r="O34" s="282"/>
      <c r="P34" s="283"/>
    </row>
    <row r="35" spans="1:16" ht="47.1" customHeight="1">
      <c r="A35" s="358">
        <v>26</v>
      </c>
      <c r="B35" s="206" t="s">
        <v>651</v>
      </c>
      <c r="C35" s="327" t="s">
        <v>703</v>
      </c>
      <c r="D35" s="203" t="s">
        <v>704</v>
      </c>
      <c r="E35" s="204">
        <v>24</v>
      </c>
      <c r="F35" s="213">
        <v>184</v>
      </c>
      <c r="G35" s="204" t="s">
        <v>646</v>
      </c>
      <c r="H35" s="206"/>
      <c r="I35" s="206"/>
      <c r="J35" s="204" t="s">
        <v>1065</v>
      </c>
      <c r="K35" s="207"/>
      <c r="L35" s="204"/>
      <c r="M35" s="359"/>
      <c r="N35" s="282"/>
      <c r="O35" s="282"/>
      <c r="P35" s="283"/>
    </row>
    <row r="36" spans="1:16" ht="47.1" customHeight="1">
      <c r="A36" s="358">
        <v>27</v>
      </c>
      <c r="B36" s="206" t="s">
        <v>954</v>
      </c>
      <c r="C36" s="327" t="s">
        <v>810</v>
      </c>
      <c r="D36" s="203" t="s">
        <v>811</v>
      </c>
      <c r="E36" s="204">
        <v>24</v>
      </c>
      <c r="F36" s="213">
        <v>23</v>
      </c>
      <c r="G36" s="204" t="s">
        <v>646</v>
      </c>
      <c r="H36" s="206"/>
      <c r="I36" s="206"/>
      <c r="J36" s="204" t="s">
        <v>1065</v>
      </c>
      <c r="K36" s="207"/>
      <c r="L36" s="204"/>
      <c r="M36" s="359"/>
      <c r="N36" s="282"/>
      <c r="O36" s="282"/>
      <c r="P36" s="283"/>
    </row>
    <row r="37" spans="1:16" ht="47.1" customHeight="1">
      <c r="A37" s="358">
        <v>28</v>
      </c>
      <c r="B37" s="206" t="s">
        <v>955</v>
      </c>
      <c r="C37" s="327" t="s">
        <v>802</v>
      </c>
      <c r="D37" s="203" t="s">
        <v>803</v>
      </c>
      <c r="E37" s="204">
        <v>24</v>
      </c>
      <c r="F37" s="213">
        <v>5</v>
      </c>
      <c r="G37" s="204" t="s">
        <v>646</v>
      </c>
      <c r="H37" s="206"/>
      <c r="I37" s="206"/>
      <c r="J37" s="204" t="s">
        <v>1065</v>
      </c>
      <c r="K37" s="207"/>
      <c r="L37" s="204"/>
      <c r="M37" s="359"/>
      <c r="N37" s="282"/>
      <c r="O37" s="282"/>
      <c r="P37" s="283"/>
    </row>
    <row r="38" spans="1:16" ht="47.1" customHeight="1">
      <c r="A38" s="358">
        <v>29</v>
      </c>
      <c r="B38" s="329" t="s">
        <v>956</v>
      </c>
      <c r="C38" s="205" t="s">
        <v>957</v>
      </c>
      <c r="D38" s="353" t="s">
        <v>958</v>
      </c>
      <c r="E38" s="355">
        <v>24</v>
      </c>
      <c r="F38" s="356">
        <v>5</v>
      </c>
      <c r="G38" s="355" t="s">
        <v>646</v>
      </c>
      <c r="H38" s="206"/>
      <c r="I38" s="206"/>
      <c r="J38" s="204" t="s">
        <v>1065</v>
      </c>
      <c r="K38" s="207"/>
      <c r="L38" s="204"/>
      <c r="M38" s="359" t="s">
        <v>1062</v>
      </c>
      <c r="N38" s="282"/>
      <c r="O38" s="282"/>
      <c r="P38" s="283"/>
    </row>
    <row r="39" spans="1:16" ht="47.1" customHeight="1">
      <c r="A39" s="358">
        <v>30</v>
      </c>
      <c r="B39" s="206" t="s">
        <v>643</v>
      </c>
      <c r="C39" s="327" t="s">
        <v>675</v>
      </c>
      <c r="D39" s="203" t="s">
        <v>676</v>
      </c>
      <c r="E39" s="204">
        <v>24</v>
      </c>
      <c r="F39" s="213">
        <v>5</v>
      </c>
      <c r="G39" s="204" t="s">
        <v>646</v>
      </c>
      <c r="H39" s="206"/>
      <c r="I39" s="206"/>
      <c r="J39" s="204" t="s">
        <v>1065</v>
      </c>
      <c r="K39" s="207"/>
      <c r="L39" s="204"/>
      <c r="M39" s="359"/>
      <c r="N39" s="282"/>
      <c r="O39" s="282"/>
      <c r="P39" s="283"/>
    </row>
    <row r="40" spans="1:16" ht="47.1" customHeight="1">
      <c r="A40" s="358">
        <v>31</v>
      </c>
      <c r="B40" s="206" t="s">
        <v>647</v>
      </c>
      <c r="C40" s="327" t="s">
        <v>800</v>
      </c>
      <c r="D40" s="203" t="s">
        <v>801</v>
      </c>
      <c r="E40" s="204">
        <v>24</v>
      </c>
      <c r="F40" s="213">
        <v>20</v>
      </c>
      <c r="G40" s="204" t="s">
        <v>646</v>
      </c>
      <c r="H40" s="206"/>
      <c r="I40" s="206"/>
      <c r="J40" s="204" t="s">
        <v>1065</v>
      </c>
      <c r="K40" s="207"/>
      <c r="L40" s="362"/>
      <c r="M40" s="359"/>
      <c r="N40" s="282"/>
      <c r="O40" s="282"/>
      <c r="P40" s="283"/>
    </row>
    <row r="41" spans="1:16" ht="47.1" customHeight="1">
      <c r="A41" s="358">
        <v>32</v>
      </c>
      <c r="B41" s="206" t="s">
        <v>648</v>
      </c>
      <c r="C41" s="327" t="s">
        <v>858</v>
      </c>
      <c r="D41" s="203" t="s">
        <v>859</v>
      </c>
      <c r="E41" s="204">
        <v>24</v>
      </c>
      <c r="F41" s="213">
        <v>20</v>
      </c>
      <c r="G41" s="204" t="s">
        <v>646</v>
      </c>
      <c r="H41" s="206"/>
      <c r="I41" s="206"/>
      <c r="J41" s="204" t="s">
        <v>1065</v>
      </c>
      <c r="K41" s="207"/>
      <c r="L41" s="204"/>
      <c r="M41" s="359"/>
      <c r="N41" s="282"/>
      <c r="O41" s="282"/>
      <c r="P41" s="283"/>
    </row>
    <row r="42" spans="1:16" ht="47.1" customHeight="1">
      <c r="A42" s="358">
        <v>33</v>
      </c>
      <c r="B42" s="206" t="s">
        <v>651</v>
      </c>
      <c r="C42" s="327" t="s">
        <v>826</v>
      </c>
      <c r="D42" s="203" t="s">
        <v>827</v>
      </c>
      <c r="E42" s="204">
        <v>24</v>
      </c>
      <c r="F42" s="213">
        <v>40</v>
      </c>
      <c r="G42" s="204" t="s">
        <v>646</v>
      </c>
      <c r="H42" s="206"/>
      <c r="I42" s="206"/>
      <c r="J42" s="204" t="s">
        <v>1065</v>
      </c>
      <c r="K42" s="207"/>
      <c r="L42" s="204"/>
      <c r="M42" s="359"/>
      <c r="N42" s="282"/>
      <c r="O42" s="282"/>
      <c r="P42" s="283"/>
    </row>
    <row r="43" spans="1:16" ht="47.1" customHeight="1">
      <c r="A43" s="358">
        <v>34</v>
      </c>
      <c r="B43" s="329" t="s">
        <v>959</v>
      </c>
      <c r="C43" s="205" t="s">
        <v>960</v>
      </c>
      <c r="D43" s="353" t="s">
        <v>961</v>
      </c>
      <c r="E43" s="355">
        <v>24</v>
      </c>
      <c r="F43" s="356">
        <v>3</v>
      </c>
      <c r="G43" s="355" t="s">
        <v>646</v>
      </c>
      <c r="H43" s="206"/>
      <c r="I43" s="206"/>
      <c r="J43" s="204" t="s">
        <v>1065</v>
      </c>
      <c r="K43" s="207"/>
      <c r="L43" s="204"/>
      <c r="M43" s="359" t="s">
        <v>1062</v>
      </c>
      <c r="N43" s="282"/>
      <c r="O43" s="282"/>
      <c r="P43" s="283"/>
    </row>
    <row r="44" spans="1:16" ht="47.1" customHeight="1">
      <c r="A44" s="358">
        <v>35</v>
      </c>
      <c r="B44" s="206" t="s">
        <v>643</v>
      </c>
      <c r="C44" s="327" t="s">
        <v>794</v>
      </c>
      <c r="D44" s="203" t="s">
        <v>795</v>
      </c>
      <c r="E44" s="204">
        <v>24</v>
      </c>
      <c r="F44" s="213">
        <v>12</v>
      </c>
      <c r="G44" s="204" t="s">
        <v>646</v>
      </c>
      <c r="H44" s="206"/>
      <c r="I44" s="206"/>
      <c r="J44" s="204" t="s">
        <v>1065</v>
      </c>
      <c r="K44" s="207"/>
      <c r="L44" s="204"/>
      <c r="M44" s="359"/>
      <c r="N44" s="282"/>
      <c r="O44" s="282"/>
      <c r="P44" s="283"/>
    </row>
    <row r="45" spans="1:16" ht="47.1" customHeight="1">
      <c r="A45" s="358">
        <v>36</v>
      </c>
      <c r="B45" s="206" t="s">
        <v>647</v>
      </c>
      <c r="C45" s="327" t="s">
        <v>705</v>
      </c>
      <c r="D45" s="203" t="s">
        <v>706</v>
      </c>
      <c r="E45" s="204">
        <v>24</v>
      </c>
      <c r="F45" s="213">
        <v>12</v>
      </c>
      <c r="G45" s="204" t="s">
        <v>646</v>
      </c>
      <c r="H45" s="206"/>
      <c r="I45" s="206"/>
      <c r="J45" s="204" t="s">
        <v>1065</v>
      </c>
      <c r="K45" s="207"/>
      <c r="L45" s="204"/>
      <c r="M45" s="359"/>
      <c r="N45" s="282"/>
      <c r="O45" s="282"/>
      <c r="P45" s="283"/>
    </row>
    <row r="46" spans="1:16" ht="47.1" customHeight="1">
      <c r="A46" s="358">
        <v>37</v>
      </c>
      <c r="B46" s="206" t="s">
        <v>648</v>
      </c>
      <c r="C46" s="327" t="s">
        <v>672</v>
      </c>
      <c r="D46" s="203" t="s">
        <v>673</v>
      </c>
      <c r="E46" s="204">
        <v>24</v>
      </c>
      <c r="F46" s="213">
        <v>3</v>
      </c>
      <c r="G46" s="204" t="s">
        <v>646</v>
      </c>
      <c r="H46" s="206"/>
      <c r="I46" s="206"/>
      <c r="J46" s="204" t="s">
        <v>1065</v>
      </c>
      <c r="K46" s="207"/>
      <c r="L46" s="204"/>
      <c r="M46" s="359"/>
      <c r="N46" s="282"/>
      <c r="O46" s="282"/>
      <c r="P46" s="283"/>
    </row>
    <row r="47" spans="1:16" ht="47.1" customHeight="1">
      <c r="A47" s="358">
        <v>38</v>
      </c>
      <c r="B47" s="206" t="s">
        <v>651</v>
      </c>
      <c r="C47" s="327" t="s">
        <v>962</v>
      </c>
      <c r="D47" s="203" t="s">
        <v>963</v>
      </c>
      <c r="E47" s="204">
        <v>24</v>
      </c>
      <c r="F47" s="213">
        <v>3</v>
      </c>
      <c r="G47" s="204" t="s">
        <v>646</v>
      </c>
      <c r="H47" s="206"/>
      <c r="I47" s="206"/>
      <c r="J47" s="204" t="s">
        <v>1065</v>
      </c>
      <c r="K47" s="207"/>
      <c r="L47" s="204"/>
      <c r="M47" s="359"/>
      <c r="N47" s="282"/>
      <c r="O47" s="282"/>
      <c r="P47" s="283"/>
    </row>
    <row r="48" spans="1:16" ht="47.1" customHeight="1">
      <c r="A48" s="358">
        <v>39</v>
      </c>
      <c r="B48" s="206" t="s">
        <v>654</v>
      </c>
      <c r="C48" s="327" t="s">
        <v>703</v>
      </c>
      <c r="D48" s="203" t="s">
        <v>704</v>
      </c>
      <c r="E48" s="204">
        <v>24</v>
      </c>
      <c r="F48" s="213">
        <v>24</v>
      </c>
      <c r="G48" s="204" t="s">
        <v>646</v>
      </c>
      <c r="H48" s="206"/>
      <c r="I48" s="206"/>
      <c r="J48" s="204" t="s">
        <v>1065</v>
      </c>
      <c r="K48" s="207"/>
      <c r="L48" s="204"/>
      <c r="M48" s="359"/>
      <c r="N48" s="282"/>
      <c r="O48" s="282"/>
      <c r="P48" s="283"/>
    </row>
    <row r="49" spans="1:16" ht="47.1" customHeight="1">
      <c r="A49" s="358">
        <v>40</v>
      </c>
      <c r="B49" s="329" t="s">
        <v>964</v>
      </c>
      <c r="C49" s="205" t="s">
        <v>965</v>
      </c>
      <c r="D49" s="353" t="s">
        <v>966</v>
      </c>
      <c r="E49" s="355">
        <v>24</v>
      </c>
      <c r="F49" s="356">
        <v>1</v>
      </c>
      <c r="G49" s="355" t="s">
        <v>646</v>
      </c>
      <c r="H49" s="206"/>
      <c r="I49" s="206"/>
      <c r="J49" s="204" t="s">
        <v>1065</v>
      </c>
      <c r="K49" s="207"/>
      <c r="L49" s="204"/>
      <c r="M49" s="359" t="s">
        <v>1062</v>
      </c>
      <c r="N49" s="282"/>
      <c r="O49" s="282"/>
      <c r="P49" s="283"/>
    </row>
    <row r="50" spans="1:16" ht="47.1" customHeight="1">
      <c r="A50" s="358">
        <v>41</v>
      </c>
      <c r="B50" s="206" t="s">
        <v>643</v>
      </c>
      <c r="C50" s="327" t="s">
        <v>800</v>
      </c>
      <c r="D50" s="203" t="s">
        <v>801</v>
      </c>
      <c r="E50" s="204">
        <v>24</v>
      </c>
      <c r="F50" s="213">
        <v>4</v>
      </c>
      <c r="G50" s="204" t="s">
        <v>646</v>
      </c>
      <c r="H50" s="206"/>
      <c r="I50" s="206"/>
      <c r="J50" s="204" t="s">
        <v>1065</v>
      </c>
      <c r="K50" s="207"/>
      <c r="L50" s="204"/>
      <c r="M50" s="359"/>
      <c r="N50" s="282"/>
      <c r="O50" s="282"/>
      <c r="P50" s="283"/>
    </row>
    <row r="51" spans="1:16" ht="47.1" customHeight="1">
      <c r="A51" s="358">
        <v>42</v>
      </c>
      <c r="B51" s="206" t="s">
        <v>647</v>
      </c>
      <c r="C51" s="327" t="s">
        <v>858</v>
      </c>
      <c r="D51" s="203" t="s">
        <v>859</v>
      </c>
      <c r="E51" s="204">
        <v>24</v>
      </c>
      <c r="F51" s="213">
        <v>4</v>
      </c>
      <c r="G51" s="204" t="s">
        <v>646</v>
      </c>
      <c r="H51" s="206"/>
      <c r="I51" s="206"/>
      <c r="J51" s="204" t="s">
        <v>1065</v>
      </c>
      <c r="K51" s="207"/>
      <c r="L51" s="204"/>
      <c r="M51" s="359"/>
      <c r="N51" s="282"/>
      <c r="O51" s="282"/>
      <c r="P51" s="283"/>
    </row>
    <row r="52" spans="1:16" ht="47.1" customHeight="1">
      <c r="A52" s="358">
        <v>43</v>
      </c>
      <c r="B52" s="206" t="s">
        <v>648</v>
      </c>
      <c r="C52" s="327" t="s">
        <v>675</v>
      </c>
      <c r="D52" s="203" t="s">
        <v>676</v>
      </c>
      <c r="E52" s="204">
        <v>24</v>
      </c>
      <c r="F52" s="213">
        <v>1</v>
      </c>
      <c r="G52" s="204" t="s">
        <v>646</v>
      </c>
      <c r="H52" s="206"/>
      <c r="I52" s="206"/>
      <c r="J52" s="204" t="s">
        <v>1065</v>
      </c>
      <c r="K52" s="207"/>
      <c r="L52" s="204"/>
      <c r="M52" s="359"/>
      <c r="N52" s="282"/>
      <c r="O52" s="282"/>
      <c r="P52" s="283"/>
    </row>
    <row r="53" spans="1:16" ht="47.1" customHeight="1">
      <c r="A53" s="358">
        <v>44</v>
      </c>
      <c r="B53" s="206" t="s">
        <v>651</v>
      </c>
      <c r="C53" s="327" t="s">
        <v>967</v>
      </c>
      <c r="D53" s="203" t="s">
        <v>968</v>
      </c>
      <c r="E53" s="204">
        <v>24</v>
      </c>
      <c r="F53" s="213">
        <v>1</v>
      </c>
      <c r="G53" s="204" t="s">
        <v>646</v>
      </c>
      <c r="H53" s="206"/>
      <c r="I53" s="206"/>
      <c r="J53" s="204" t="s">
        <v>1065</v>
      </c>
      <c r="K53" s="207"/>
      <c r="L53" s="204"/>
      <c r="M53" s="359"/>
      <c r="N53" s="282"/>
      <c r="O53" s="282"/>
      <c r="P53" s="283"/>
    </row>
    <row r="54" spans="1:16" ht="47.1" customHeight="1">
      <c r="A54" s="358">
        <v>45</v>
      </c>
      <c r="B54" s="206" t="s">
        <v>654</v>
      </c>
      <c r="C54" s="327" t="s">
        <v>826</v>
      </c>
      <c r="D54" s="203" t="s">
        <v>827</v>
      </c>
      <c r="E54" s="204">
        <v>24</v>
      </c>
      <c r="F54" s="213">
        <v>8</v>
      </c>
      <c r="G54" s="204" t="s">
        <v>646</v>
      </c>
      <c r="H54" s="206"/>
      <c r="I54" s="206"/>
      <c r="J54" s="204" t="s">
        <v>1065</v>
      </c>
      <c r="K54" s="207"/>
      <c r="L54" s="204"/>
      <c r="M54" s="359"/>
      <c r="N54" s="282"/>
      <c r="O54" s="282"/>
      <c r="P54" s="283"/>
    </row>
    <row r="55" spans="1:16" ht="47.1" customHeight="1">
      <c r="A55" s="358">
        <v>46</v>
      </c>
      <c r="B55" s="329" t="s">
        <v>969</v>
      </c>
      <c r="C55" s="205" t="s">
        <v>970</v>
      </c>
      <c r="D55" s="353" t="s">
        <v>971</v>
      </c>
      <c r="E55" s="355">
        <v>24</v>
      </c>
      <c r="F55" s="356">
        <v>2</v>
      </c>
      <c r="G55" s="355" t="s">
        <v>646</v>
      </c>
      <c r="H55" s="206"/>
      <c r="I55" s="206"/>
      <c r="J55" s="204" t="s">
        <v>1065</v>
      </c>
      <c r="K55" s="207"/>
      <c r="L55" s="204"/>
      <c r="M55" s="359" t="s">
        <v>1062</v>
      </c>
      <c r="N55" s="282"/>
      <c r="O55" s="282"/>
      <c r="P55" s="283"/>
    </row>
    <row r="56" spans="1:16" ht="47.1" customHeight="1">
      <c r="A56" s="358">
        <v>47</v>
      </c>
      <c r="B56" s="206" t="s">
        <v>643</v>
      </c>
      <c r="C56" s="327" t="s">
        <v>800</v>
      </c>
      <c r="D56" s="203" t="s">
        <v>801</v>
      </c>
      <c r="E56" s="204">
        <v>24</v>
      </c>
      <c r="F56" s="213">
        <v>8</v>
      </c>
      <c r="G56" s="204" t="s">
        <v>646</v>
      </c>
      <c r="H56" s="206"/>
      <c r="I56" s="206"/>
      <c r="J56" s="204" t="s">
        <v>1065</v>
      </c>
      <c r="K56" s="207"/>
      <c r="L56" s="204"/>
      <c r="M56" s="359"/>
      <c r="N56" s="282"/>
      <c r="O56" s="282"/>
      <c r="P56" s="283"/>
    </row>
    <row r="57" spans="1:16" customFormat="1" ht="47.1" customHeight="1">
      <c r="A57" s="358">
        <v>48</v>
      </c>
      <c r="B57" s="200" t="s">
        <v>647</v>
      </c>
      <c r="C57" s="327" t="s">
        <v>858</v>
      </c>
      <c r="D57" s="203" t="s">
        <v>859</v>
      </c>
      <c r="E57" s="204">
        <v>24</v>
      </c>
      <c r="F57" s="201">
        <v>8</v>
      </c>
      <c r="G57" s="182" t="s">
        <v>646</v>
      </c>
      <c r="H57" s="200"/>
      <c r="I57" s="200"/>
      <c r="J57" s="204" t="s">
        <v>1065</v>
      </c>
      <c r="K57" s="202"/>
      <c r="L57" s="202"/>
      <c r="M57" s="277"/>
      <c r="N57" s="278"/>
      <c r="O57" s="278"/>
      <c r="P57" s="279"/>
    </row>
    <row r="58" spans="1:16" customFormat="1" ht="47.1" customHeight="1">
      <c r="A58" s="358">
        <v>49</v>
      </c>
      <c r="B58" s="200" t="s">
        <v>648</v>
      </c>
      <c r="C58" s="327" t="s">
        <v>678</v>
      </c>
      <c r="D58" s="184" t="s">
        <v>679</v>
      </c>
      <c r="E58" s="204">
        <v>24</v>
      </c>
      <c r="F58" s="201">
        <v>2</v>
      </c>
      <c r="G58" s="182" t="s">
        <v>646</v>
      </c>
      <c r="H58" s="200"/>
      <c r="I58" s="200"/>
      <c r="J58" s="204" t="s">
        <v>1065</v>
      </c>
      <c r="K58" s="202"/>
      <c r="L58" s="202"/>
      <c r="M58" s="277"/>
      <c r="N58" s="278"/>
      <c r="O58" s="278"/>
      <c r="P58" s="279"/>
    </row>
    <row r="59" spans="1:16" customFormat="1" ht="47.1" customHeight="1">
      <c r="A59" s="358">
        <v>50</v>
      </c>
      <c r="B59" s="200" t="s">
        <v>651</v>
      </c>
      <c r="C59" s="327" t="s">
        <v>972</v>
      </c>
      <c r="D59" s="184" t="s">
        <v>973</v>
      </c>
      <c r="E59" s="204">
        <v>24</v>
      </c>
      <c r="F59" s="201">
        <v>2</v>
      </c>
      <c r="G59" s="182" t="s">
        <v>646</v>
      </c>
      <c r="H59" s="200"/>
      <c r="I59" s="200"/>
      <c r="J59" s="204" t="s">
        <v>1065</v>
      </c>
      <c r="K59" s="202"/>
      <c r="L59" s="202"/>
      <c r="M59" s="277"/>
      <c r="N59" s="278"/>
      <c r="O59" s="278"/>
      <c r="P59" s="279"/>
    </row>
    <row r="60" spans="1:16" customFormat="1" ht="47.1" customHeight="1">
      <c r="A60" s="358">
        <v>51</v>
      </c>
      <c r="B60" s="200" t="s">
        <v>654</v>
      </c>
      <c r="C60" s="327" t="s">
        <v>826</v>
      </c>
      <c r="D60" s="203" t="s">
        <v>827</v>
      </c>
      <c r="E60" s="204">
        <v>24</v>
      </c>
      <c r="F60" s="201">
        <v>16</v>
      </c>
      <c r="G60" s="182" t="s">
        <v>646</v>
      </c>
      <c r="H60" s="200"/>
      <c r="I60" s="200"/>
      <c r="J60" s="204" t="s">
        <v>1065</v>
      </c>
      <c r="K60" s="202"/>
      <c r="L60" s="202"/>
      <c r="M60" s="277"/>
      <c r="N60" s="278"/>
      <c r="O60" s="278"/>
      <c r="P60" s="279"/>
    </row>
    <row r="61" spans="1:16" ht="47.1" customHeight="1">
      <c r="A61" s="358">
        <v>52</v>
      </c>
      <c r="B61" s="329" t="s">
        <v>974</v>
      </c>
      <c r="C61" s="205" t="s">
        <v>975</v>
      </c>
      <c r="D61" s="353" t="s">
        <v>976</v>
      </c>
      <c r="E61" s="355">
        <v>24</v>
      </c>
      <c r="F61" s="356">
        <v>3</v>
      </c>
      <c r="G61" s="355" t="s">
        <v>646</v>
      </c>
      <c r="H61" s="206"/>
      <c r="I61" s="206"/>
      <c r="J61" s="204" t="s">
        <v>1065</v>
      </c>
      <c r="K61" s="207"/>
      <c r="L61" s="207"/>
      <c r="M61" s="359" t="s">
        <v>1062</v>
      </c>
      <c r="N61" s="282"/>
      <c r="O61" s="282"/>
      <c r="P61" s="283"/>
    </row>
    <row r="62" spans="1:16" ht="47.1" customHeight="1">
      <c r="A62" s="358">
        <v>53</v>
      </c>
      <c r="B62" s="206" t="s">
        <v>643</v>
      </c>
      <c r="C62" s="327" t="s">
        <v>600</v>
      </c>
      <c r="D62" s="203" t="s">
        <v>977</v>
      </c>
      <c r="E62" s="204">
        <v>24</v>
      </c>
      <c r="F62" s="213">
        <v>3</v>
      </c>
      <c r="G62" s="204" t="s">
        <v>646</v>
      </c>
      <c r="H62" s="206"/>
      <c r="I62" s="206"/>
      <c r="J62" s="204" t="s">
        <v>1065</v>
      </c>
      <c r="K62" s="207"/>
      <c r="L62" s="207"/>
      <c r="M62" s="359"/>
      <c r="N62" s="282"/>
      <c r="O62" s="282"/>
      <c r="P62" s="283"/>
    </row>
    <row r="63" spans="1:16" ht="47.1" customHeight="1">
      <c r="A63" s="358">
        <v>54</v>
      </c>
      <c r="B63" s="329" t="s">
        <v>647</v>
      </c>
      <c r="C63" s="205" t="s">
        <v>978</v>
      </c>
      <c r="D63" s="353" t="s">
        <v>958</v>
      </c>
      <c r="E63" s="355">
        <v>24</v>
      </c>
      <c r="F63" s="356">
        <v>6</v>
      </c>
      <c r="G63" s="355" t="s">
        <v>646</v>
      </c>
      <c r="H63" s="206"/>
      <c r="I63" s="206"/>
      <c r="J63" s="204" t="s">
        <v>1065</v>
      </c>
      <c r="K63" s="207"/>
      <c r="L63" s="207"/>
      <c r="M63" s="359" t="s">
        <v>1062</v>
      </c>
      <c r="N63" s="282"/>
      <c r="O63" s="282"/>
      <c r="P63" s="283"/>
    </row>
    <row r="64" spans="1:16" ht="47.1" customHeight="1">
      <c r="A64" s="358">
        <v>55</v>
      </c>
      <c r="B64" s="206" t="s">
        <v>643</v>
      </c>
      <c r="C64" s="327" t="s">
        <v>675</v>
      </c>
      <c r="D64" s="203" t="s">
        <v>676</v>
      </c>
      <c r="E64" s="204">
        <v>24</v>
      </c>
      <c r="F64" s="213">
        <v>6</v>
      </c>
      <c r="G64" s="204" t="s">
        <v>646</v>
      </c>
      <c r="H64" s="206"/>
      <c r="I64" s="206"/>
      <c r="J64" s="204" t="s">
        <v>1065</v>
      </c>
      <c r="K64" s="207"/>
      <c r="L64" s="207"/>
      <c r="M64" s="359"/>
      <c r="N64" s="282"/>
      <c r="O64" s="282"/>
      <c r="P64" s="283"/>
    </row>
    <row r="65" spans="1:16" ht="47.1" customHeight="1">
      <c r="A65" s="358">
        <v>56</v>
      </c>
      <c r="B65" s="206" t="s">
        <v>647</v>
      </c>
      <c r="C65" s="327" t="s">
        <v>804</v>
      </c>
      <c r="D65" s="203" t="s">
        <v>805</v>
      </c>
      <c r="E65" s="204">
        <v>24</v>
      </c>
      <c r="F65" s="213">
        <v>24</v>
      </c>
      <c r="G65" s="204" t="s">
        <v>646</v>
      </c>
      <c r="H65" s="206"/>
      <c r="I65" s="206"/>
      <c r="J65" s="204" t="s">
        <v>1065</v>
      </c>
      <c r="K65" s="207"/>
      <c r="L65" s="207"/>
      <c r="M65" s="359"/>
      <c r="N65" s="282"/>
      <c r="O65" s="282"/>
      <c r="P65" s="283"/>
    </row>
    <row r="66" spans="1:16" ht="47.1" customHeight="1">
      <c r="A66" s="358">
        <v>57</v>
      </c>
      <c r="B66" s="206" t="s">
        <v>648</v>
      </c>
      <c r="C66" s="327" t="s">
        <v>858</v>
      </c>
      <c r="D66" s="203" t="s">
        <v>859</v>
      </c>
      <c r="E66" s="204">
        <v>24</v>
      </c>
      <c r="F66" s="213">
        <v>24</v>
      </c>
      <c r="G66" s="204" t="s">
        <v>646</v>
      </c>
      <c r="H66" s="206"/>
      <c r="I66" s="206"/>
      <c r="J66" s="204" t="s">
        <v>1065</v>
      </c>
      <c r="K66" s="207"/>
      <c r="L66" s="207"/>
      <c r="M66" s="359"/>
      <c r="N66" s="282"/>
      <c r="O66" s="282"/>
      <c r="P66" s="283"/>
    </row>
    <row r="67" spans="1:16" ht="47.1" customHeight="1">
      <c r="A67" s="358">
        <v>58</v>
      </c>
      <c r="B67" s="206" t="s">
        <v>651</v>
      </c>
      <c r="C67" s="327" t="s">
        <v>826</v>
      </c>
      <c r="D67" s="203" t="s">
        <v>827</v>
      </c>
      <c r="E67" s="204">
        <v>24</v>
      </c>
      <c r="F67" s="213">
        <v>48</v>
      </c>
      <c r="G67" s="204" t="s">
        <v>646</v>
      </c>
      <c r="H67" s="206"/>
      <c r="I67" s="206"/>
      <c r="J67" s="204" t="s">
        <v>1065</v>
      </c>
      <c r="K67" s="207"/>
      <c r="L67" s="207"/>
      <c r="M67" s="359"/>
      <c r="N67" s="282"/>
      <c r="O67" s="282"/>
      <c r="P67" s="283"/>
    </row>
    <row r="68" spans="1:16" ht="47.1" customHeight="1">
      <c r="A68" s="358">
        <v>59</v>
      </c>
      <c r="B68" s="329" t="s">
        <v>979</v>
      </c>
      <c r="C68" s="205" t="s">
        <v>980</v>
      </c>
      <c r="D68" s="353" t="s">
        <v>981</v>
      </c>
      <c r="E68" s="355">
        <v>24</v>
      </c>
      <c r="F68" s="356">
        <v>4</v>
      </c>
      <c r="G68" s="355" t="s">
        <v>646</v>
      </c>
      <c r="H68" s="206"/>
      <c r="I68" s="206"/>
      <c r="J68" s="204" t="s">
        <v>1065</v>
      </c>
      <c r="K68" s="207"/>
      <c r="L68" s="207"/>
      <c r="M68" s="359" t="s">
        <v>1062</v>
      </c>
      <c r="N68" s="282"/>
      <c r="O68" s="282"/>
      <c r="P68" s="283"/>
    </row>
    <row r="69" spans="1:16" ht="47.1" customHeight="1">
      <c r="A69" s="358">
        <v>60</v>
      </c>
      <c r="B69" s="206" t="s">
        <v>643</v>
      </c>
      <c r="C69" s="327" t="s">
        <v>630</v>
      </c>
      <c r="D69" s="203" t="s">
        <v>982</v>
      </c>
      <c r="E69" s="204">
        <v>24</v>
      </c>
      <c r="F69" s="213">
        <v>4</v>
      </c>
      <c r="G69" s="204" t="s">
        <v>646</v>
      </c>
      <c r="H69" s="206"/>
      <c r="I69" s="206"/>
      <c r="J69" s="204" t="s">
        <v>1065</v>
      </c>
      <c r="K69" s="207"/>
      <c r="L69" s="207"/>
      <c r="M69" s="359"/>
      <c r="N69" s="282"/>
      <c r="O69" s="282"/>
      <c r="P69" s="283"/>
    </row>
    <row r="70" spans="1:16" ht="47.1" customHeight="1">
      <c r="A70" s="358">
        <v>61</v>
      </c>
      <c r="B70" s="329" t="s">
        <v>647</v>
      </c>
      <c r="C70" s="205" t="s">
        <v>952</v>
      </c>
      <c r="D70" s="353" t="s">
        <v>953</v>
      </c>
      <c r="E70" s="355">
        <v>24</v>
      </c>
      <c r="F70" s="356">
        <v>8</v>
      </c>
      <c r="G70" s="355" t="s">
        <v>646</v>
      </c>
      <c r="H70" s="206"/>
      <c r="I70" s="206"/>
      <c r="J70" s="204" t="s">
        <v>1065</v>
      </c>
      <c r="K70" s="207"/>
      <c r="L70" s="207"/>
      <c r="M70" s="359" t="s">
        <v>1062</v>
      </c>
      <c r="N70" s="282"/>
      <c r="O70" s="282"/>
      <c r="P70" s="283"/>
    </row>
    <row r="71" spans="1:16" ht="47.1" customHeight="1">
      <c r="A71" s="358">
        <v>62</v>
      </c>
      <c r="B71" s="206" t="s">
        <v>643</v>
      </c>
      <c r="C71" s="327" t="s">
        <v>672</v>
      </c>
      <c r="D71" s="203" t="s">
        <v>673</v>
      </c>
      <c r="E71" s="204">
        <v>24</v>
      </c>
      <c r="F71" s="213">
        <v>8</v>
      </c>
      <c r="G71" s="204" t="s">
        <v>646</v>
      </c>
      <c r="H71" s="206"/>
      <c r="I71" s="206"/>
      <c r="J71" s="204" t="s">
        <v>1065</v>
      </c>
      <c r="K71" s="207"/>
      <c r="L71" s="207"/>
      <c r="M71" s="359"/>
      <c r="N71" s="282"/>
      <c r="O71" s="282"/>
      <c r="P71" s="283"/>
    </row>
    <row r="72" spans="1:16" ht="47.1" customHeight="1">
      <c r="A72" s="358">
        <v>63</v>
      </c>
      <c r="B72" s="206" t="s">
        <v>647</v>
      </c>
      <c r="C72" s="327" t="s">
        <v>794</v>
      </c>
      <c r="D72" s="203" t="s">
        <v>795</v>
      </c>
      <c r="E72" s="204">
        <v>24</v>
      </c>
      <c r="F72" s="213">
        <v>32</v>
      </c>
      <c r="G72" s="204" t="s">
        <v>646</v>
      </c>
      <c r="H72" s="206"/>
      <c r="I72" s="206"/>
      <c r="J72" s="204" t="s">
        <v>1065</v>
      </c>
      <c r="K72" s="207"/>
      <c r="L72" s="207"/>
      <c r="M72" s="359"/>
      <c r="N72" s="282"/>
      <c r="O72" s="282"/>
      <c r="P72" s="283"/>
    </row>
    <row r="73" spans="1:16" ht="47.1" customHeight="1">
      <c r="A73" s="358">
        <v>64</v>
      </c>
      <c r="B73" s="206" t="s">
        <v>648</v>
      </c>
      <c r="C73" s="327" t="s">
        <v>705</v>
      </c>
      <c r="D73" s="203" t="s">
        <v>706</v>
      </c>
      <c r="E73" s="204">
        <v>24</v>
      </c>
      <c r="F73" s="213">
        <v>32</v>
      </c>
      <c r="G73" s="204" t="s">
        <v>646</v>
      </c>
      <c r="H73" s="206"/>
      <c r="I73" s="206"/>
      <c r="J73" s="204" t="s">
        <v>1065</v>
      </c>
      <c r="K73" s="207"/>
      <c r="L73" s="207"/>
      <c r="M73" s="359"/>
      <c r="N73" s="282"/>
      <c r="O73" s="282"/>
      <c r="P73" s="283"/>
    </row>
    <row r="74" spans="1:16" ht="47.1" customHeight="1">
      <c r="A74" s="358">
        <v>65</v>
      </c>
      <c r="B74" s="206" t="s">
        <v>651</v>
      </c>
      <c r="C74" s="327" t="s">
        <v>703</v>
      </c>
      <c r="D74" s="203" t="s">
        <v>704</v>
      </c>
      <c r="E74" s="204">
        <v>24</v>
      </c>
      <c r="F74" s="213">
        <v>64</v>
      </c>
      <c r="G74" s="204" t="s">
        <v>646</v>
      </c>
      <c r="H74" s="206"/>
      <c r="I74" s="206"/>
      <c r="J74" s="204" t="s">
        <v>1065</v>
      </c>
      <c r="K74" s="207"/>
      <c r="L74" s="207"/>
      <c r="M74" s="359"/>
      <c r="N74" s="282"/>
      <c r="O74" s="282"/>
      <c r="P74" s="283"/>
    </row>
    <row r="75" spans="1:16" ht="47.1" customHeight="1">
      <c r="A75" s="358">
        <v>66</v>
      </c>
      <c r="B75" s="329" t="s">
        <v>983</v>
      </c>
      <c r="C75" s="205" t="s">
        <v>984</v>
      </c>
      <c r="D75" s="353" t="s">
        <v>985</v>
      </c>
      <c r="E75" s="355">
        <v>24</v>
      </c>
      <c r="F75" s="356">
        <v>2</v>
      </c>
      <c r="G75" s="355" t="s">
        <v>646</v>
      </c>
      <c r="H75" s="206"/>
      <c r="I75" s="206"/>
      <c r="J75" s="204" t="s">
        <v>1065</v>
      </c>
      <c r="K75" s="207"/>
      <c r="L75" s="207"/>
      <c r="M75" s="359" t="s">
        <v>1062</v>
      </c>
      <c r="N75" s="282"/>
      <c r="O75" s="282"/>
      <c r="P75" s="283"/>
    </row>
    <row r="76" spans="1:16" ht="47.1" customHeight="1">
      <c r="A76" s="358">
        <v>67</v>
      </c>
      <c r="B76" s="206" t="s">
        <v>643</v>
      </c>
      <c r="C76" s="327" t="s">
        <v>986</v>
      </c>
      <c r="D76" s="203" t="s">
        <v>987</v>
      </c>
      <c r="E76" s="204">
        <v>24</v>
      </c>
      <c r="F76" s="213">
        <v>2</v>
      </c>
      <c r="G76" s="204" t="s">
        <v>646</v>
      </c>
      <c r="H76" s="206"/>
      <c r="I76" s="206"/>
      <c r="J76" s="204" t="s">
        <v>1065</v>
      </c>
      <c r="K76" s="207"/>
      <c r="L76" s="207"/>
      <c r="M76" s="359"/>
      <c r="N76" s="282"/>
      <c r="O76" s="282"/>
      <c r="P76" s="283"/>
    </row>
    <row r="77" spans="1:16" ht="47.1" customHeight="1">
      <c r="A77" s="358">
        <v>68</v>
      </c>
      <c r="B77" s="206" t="s">
        <v>647</v>
      </c>
      <c r="C77" s="327" t="s">
        <v>703</v>
      </c>
      <c r="D77" s="203" t="s">
        <v>704</v>
      </c>
      <c r="E77" s="204">
        <v>24</v>
      </c>
      <c r="F77" s="213">
        <v>2</v>
      </c>
      <c r="G77" s="204" t="s">
        <v>646</v>
      </c>
      <c r="H77" s="206"/>
      <c r="I77" s="206"/>
      <c r="J77" s="204" t="s">
        <v>1065</v>
      </c>
      <c r="K77" s="207"/>
      <c r="L77" s="207"/>
      <c r="M77" s="359"/>
      <c r="N77" s="282"/>
      <c r="O77" s="282"/>
      <c r="P77" s="283"/>
    </row>
    <row r="78" spans="1:16" ht="47.1" customHeight="1">
      <c r="A78" s="358">
        <v>69</v>
      </c>
      <c r="B78" s="206" t="s">
        <v>648</v>
      </c>
      <c r="C78" s="327" t="s">
        <v>705</v>
      </c>
      <c r="D78" s="203" t="s">
        <v>706</v>
      </c>
      <c r="E78" s="204">
        <v>24</v>
      </c>
      <c r="F78" s="213">
        <v>2</v>
      </c>
      <c r="G78" s="204" t="s">
        <v>646</v>
      </c>
      <c r="H78" s="206"/>
      <c r="I78" s="206"/>
      <c r="J78" s="204" t="s">
        <v>1065</v>
      </c>
      <c r="K78" s="207"/>
      <c r="L78" s="207"/>
      <c r="M78" s="359"/>
      <c r="N78" s="282"/>
      <c r="O78" s="282"/>
      <c r="P78" s="283"/>
    </row>
    <row r="79" spans="1:16" ht="47.1" customHeight="1">
      <c r="A79" s="358">
        <v>70</v>
      </c>
      <c r="B79" s="206" t="s">
        <v>651</v>
      </c>
      <c r="C79" s="327" t="s">
        <v>792</v>
      </c>
      <c r="D79" s="203" t="s">
        <v>793</v>
      </c>
      <c r="E79" s="204">
        <v>24</v>
      </c>
      <c r="F79" s="213">
        <v>2</v>
      </c>
      <c r="G79" s="204" t="s">
        <v>646</v>
      </c>
      <c r="H79" s="206"/>
      <c r="I79" s="206"/>
      <c r="J79" s="204" t="s">
        <v>1065</v>
      </c>
      <c r="K79" s="207"/>
      <c r="L79" s="207"/>
      <c r="M79" s="359"/>
      <c r="N79" s="282"/>
      <c r="O79" s="282"/>
      <c r="P79" s="283"/>
    </row>
    <row r="80" spans="1:16" ht="47.1" customHeight="1">
      <c r="A80" s="358">
        <v>71</v>
      </c>
      <c r="B80" s="206" t="s">
        <v>654</v>
      </c>
      <c r="C80" s="327" t="s">
        <v>988</v>
      </c>
      <c r="D80" s="203" t="s">
        <v>989</v>
      </c>
      <c r="E80" s="204">
        <v>24</v>
      </c>
      <c r="F80" s="213">
        <v>1.6E-2</v>
      </c>
      <c r="G80" s="204" t="s">
        <v>990</v>
      </c>
      <c r="H80" s="206"/>
      <c r="I80" s="206"/>
      <c r="J80" s="204" t="s">
        <v>1065</v>
      </c>
      <c r="K80" s="207"/>
      <c r="L80" s="207"/>
      <c r="M80" s="359"/>
      <c r="N80" s="282"/>
      <c r="O80" s="282"/>
      <c r="P80" s="283"/>
    </row>
    <row r="81" spans="1:16" ht="47.1" customHeight="1">
      <c r="A81" s="358">
        <v>72</v>
      </c>
      <c r="B81" s="329" t="s">
        <v>991</v>
      </c>
      <c r="C81" s="205" t="s">
        <v>992</v>
      </c>
      <c r="D81" s="353" t="s">
        <v>993</v>
      </c>
      <c r="E81" s="355">
        <v>24</v>
      </c>
      <c r="F81" s="356">
        <v>8</v>
      </c>
      <c r="G81" s="355" t="s">
        <v>646</v>
      </c>
      <c r="H81" s="206"/>
      <c r="I81" s="206"/>
      <c r="J81" s="204" t="s">
        <v>1065</v>
      </c>
      <c r="K81" s="207"/>
      <c r="L81" s="207"/>
      <c r="M81" s="359" t="s">
        <v>1062</v>
      </c>
      <c r="N81" s="282"/>
      <c r="O81" s="282"/>
      <c r="P81" s="283"/>
    </row>
    <row r="82" spans="1:16" ht="47.1" customHeight="1">
      <c r="A82" s="358">
        <v>73</v>
      </c>
      <c r="B82" s="206" t="s">
        <v>643</v>
      </c>
      <c r="C82" s="327" t="s">
        <v>846</v>
      </c>
      <c r="D82" s="203" t="s">
        <v>847</v>
      </c>
      <c r="E82" s="204">
        <v>24</v>
      </c>
      <c r="F82" s="213">
        <v>8</v>
      </c>
      <c r="G82" s="204" t="s">
        <v>646</v>
      </c>
      <c r="H82" s="206"/>
      <c r="I82" s="206"/>
      <c r="J82" s="204" t="s">
        <v>1065</v>
      </c>
      <c r="K82" s="207"/>
      <c r="L82" s="207"/>
      <c r="M82" s="359"/>
      <c r="N82" s="282"/>
      <c r="O82" s="282"/>
      <c r="P82" s="283"/>
    </row>
    <row r="83" spans="1:16" ht="47.1" customHeight="1">
      <c r="A83" s="358">
        <v>74</v>
      </c>
      <c r="B83" s="206" t="s">
        <v>647</v>
      </c>
      <c r="C83" s="327" t="s">
        <v>858</v>
      </c>
      <c r="D83" s="203" t="s">
        <v>859</v>
      </c>
      <c r="E83" s="204">
        <v>24</v>
      </c>
      <c r="F83" s="213">
        <v>8</v>
      </c>
      <c r="G83" s="204" t="s">
        <v>646</v>
      </c>
      <c r="H83" s="206"/>
      <c r="I83" s="206"/>
      <c r="J83" s="204" t="s">
        <v>1065</v>
      </c>
      <c r="K83" s="207"/>
      <c r="L83" s="207"/>
      <c r="M83" s="359"/>
      <c r="N83" s="282"/>
      <c r="O83" s="282"/>
      <c r="P83" s="283"/>
    </row>
    <row r="84" spans="1:16" ht="47.1" customHeight="1">
      <c r="A84" s="358">
        <v>75</v>
      </c>
      <c r="B84" s="206" t="s">
        <v>648</v>
      </c>
      <c r="C84" s="327" t="s">
        <v>826</v>
      </c>
      <c r="D84" s="203" t="s">
        <v>827</v>
      </c>
      <c r="E84" s="204">
        <v>24</v>
      </c>
      <c r="F84" s="213">
        <v>8</v>
      </c>
      <c r="G84" s="204" t="s">
        <v>646</v>
      </c>
      <c r="H84" s="206"/>
      <c r="I84" s="206"/>
      <c r="J84" s="204" t="s">
        <v>1065</v>
      </c>
      <c r="K84" s="207"/>
      <c r="L84" s="207"/>
      <c r="M84" s="359"/>
      <c r="N84" s="282"/>
      <c r="O84" s="282"/>
      <c r="P84" s="283"/>
    </row>
    <row r="85" spans="1:16" ht="47.1" customHeight="1">
      <c r="A85" s="358">
        <v>76</v>
      </c>
      <c r="B85" s="329" t="s">
        <v>994</v>
      </c>
      <c r="C85" s="205" t="s">
        <v>995</v>
      </c>
      <c r="D85" s="353" t="s">
        <v>996</v>
      </c>
      <c r="E85" s="355">
        <v>24</v>
      </c>
      <c r="F85" s="356">
        <v>1</v>
      </c>
      <c r="G85" s="355" t="s">
        <v>646</v>
      </c>
      <c r="H85" s="206"/>
      <c r="I85" s="206"/>
      <c r="J85" s="204" t="s">
        <v>1065</v>
      </c>
      <c r="K85" s="207"/>
      <c r="L85" s="207"/>
      <c r="M85" s="359" t="s">
        <v>1062</v>
      </c>
      <c r="N85" s="282"/>
      <c r="O85" s="282"/>
      <c r="P85" s="283"/>
    </row>
    <row r="86" spans="1:16" ht="47.1" customHeight="1">
      <c r="A86" s="358">
        <v>77</v>
      </c>
      <c r="B86" s="206" t="s">
        <v>643</v>
      </c>
      <c r="C86" s="327" t="s">
        <v>630</v>
      </c>
      <c r="D86" s="203" t="s">
        <v>982</v>
      </c>
      <c r="E86" s="204">
        <v>24</v>
      </c>
      <c r="F86" s="213">
        <v>1</v>
      </c>
      <c r="G86" s="204" t="s">
        <v>646</v>
      </c>
      <c r="H86" s="206"/>
      <c r="I86" s="206"/>
      <c r="J86" s="204" t="s">
        <v>1065</v>
      </c>
      <c r="K86" s="207"/>
      <c r="L86" s="207"/>
      <c r="M86" s="359"/>
      <c r="N86" s="282"/>
      <c r="O86" s="282"/>
      <c r="P86" s="283"/>
    </row>
    <row r="87" spans="1:16" ht="47.1" customHeight="1">
      <c r="A87" s="358">
        <v>78</v>
      </c>
      <c r="B87" s="206" t="s">
        <v>647</v>
      </c>
      <c r="C87" s="327" t="s">
        <v>997</v>
      </c>
      <c r="D87" s="203" t="s">
        <v>998</v>
      </c>
      <c r="E87" s="204">
        <v>24</v>
      </c>
      <c r="F87" s="213">
        <v>1</v>
      </c>
      <c r="G87" s="204" t="s">
        <v>646</v>
      </c>
      <c r="H87" s="206"/>
      <c r="I87" s="206"/>
      <c r="J87" s="204" t="s">
        <v>1065</v>
      </c>
      <c r="K87" s="207"/>
      <c r="L87" s="207"/>
      <c r="M87" s="359"/>
      <c r="N87" s="282"/>
      <c r="O87" s="282"/>
      <c r="P87" s="283"/>
    </row>
    <row r="88" spans="1:16" ht="47.1" customHeight="1">
      <c r="A88" s="358">
        <v>79</v>
      </c>
      <c r="B88" s="206" t="s">
        <v>648</v>
      </c>
      <c r="C88" s="327" t="s">
        <v>672</v>
      </c>
      <c r="D88" s="203" t="s">
        <v>673</v>
      </c>
      <c r="E88" s="204">
        <v>24</v>
      </c>
      <c r="F88" s="213">
        <v>2</v>
      </c>
      <c r="G88" s="204" t="s">
        <v>646</v>
      </c>
      <c r="H88" s="206"/>
      <c r="I88" s="206"/>
      <c r="J88" s="204" t="s">
        <v>1065</v>
      </c>
      <c r="K88" s="207"/>
      <c r="L88" s="207"/>
      <c r="M88" s="359"/>
      <c r="N88" s="282"/>
      <c r="O88" s="282"/>
      <c r="P88" s="283"/>
    </row>
    <row r="89" spans="1:16" ht="47.1" customHeight="1">
      <c r="A89" s="358">
        <v>80</v>
      </c>
      <c r="B89" s="206" t="s">
        <v>651</v>
      </c>
      <c r="C89" s="327" t="s">
        <v>703</v>
      </c>
      <c r="D89" s="203" t="s">
        <v>704</v>
      </c>
      <c r="E89" s="204">
        <v>24</v>
      </c>
      <c r="F89" s="213">
        <v>24</v>
      </c>
      <c r="G89" s="204" t="s">
        <v>646</v>
      </c>
      <c r="H89" s="206"/>
      <c r="I89" s="206"/>
      <c r="J89" s="204" t="s">
        <v>1065</v>
      </c>
      <c r="K89" s="207"/>
      <c r="L89" s="207"/>
      <c r="M89" s="359"/>
      <c r="N89" s="282"/>
      <c r="O89" s="282"/>
      <c r="P89" s="283"/>
    </row>
    <row r="90" spans="1:16" ht="47.1" customHeight="1">
      <c r="A90" s="358">
        <v>81</v>
      </c>
      <c r="B90" s="206" t="s">
        <v>654</v>
      </c>
      <c r="C90" s="327" t="s">
        <v>705</v>
      </c>
      <c r="D90" s="203" t="s">
        <v>706</v>
      </c>
      <c r="E90" s="204">
        <v>24</v>
      </c>
      <c r="F90" s="213">
        <v>12</v>
      </c>
      <c r="G90" s="204" t="s">
        <v>646</v>
      </c>
      <c r="H90" s="206"/>
      <c r="I90" s="206"/>
      <c r="J90" s="204" t="s">
        <v>1065</v>
      </c>
      <c r="K90" s="207"/>
      <c r="L90" s="207"/>
      <c r="M90" s="359"/>
      <c r="N90" s="282"/>
      <c r="O90" s="282"/>
      <c r="P90" s="283"/>
    </row>
    <row r="91" spans="1:16" ht="47.1" customHeight="1">
      <c r="A91" s="358">
        <v>82</v>
      </c>
      <c r="B91" s="206" t="s">
        <v>657</v>
      </c>
      <c r="C91" s="327" t="s">
        <v>794</v>
      </c>
      <c r="D91" s="203" t="s">
        <v>795</v>
      </c>
      <c r="E91" s="204">
        <v>24</v>
      </c>
      <c r="F91" s="213">
        <v>12</v>
      </c>
      <c r="G91" s="204" t="s">
        <v>646</v>
      </c>
      <c r="H91" s="206"/>
      <c r="I91" s="206"/>
      <c r="J91" s="204" t="s">
        <v>1065</v>
      </c>
      <c r="K91" s="207"/>
      <c r="L91" s="207"/>
      <c r="M91" s="359"/>
      <c r="N91" s="282"/>
      <c r="O91" s="282"/>
      <c r="P91" s="283"/>
    </row>
    <row r="92" spans="1:16" ht="47.1" customHeight="1">
      <c r="A92" s="358">
        <v>83</v>
      </c>
      <c r="B92" s="329" t="s">
        <v>999</v>
      </c>
      <c r="C92" s="205" t="s">
        <v>1000</v>
      </c>
      <c r="D92" s="353" t="s">
        <v>1001</v>
      </c>
      <c r="E92" s="355">
        <v>24</v>
      </c>
      <c r="F92" s="356">
        <v>30</v>
      </c>
      <c r="G92" s="355" t="s">
        <v>646</v>
      </c>
      <c r="H92" s="206"/>
      <c r="I92" s="206"/>
      <c r="J92" s="204" t="s">
        <v>1065</v>
      </c>
      <c r="K92" s="207"/>
      <c r="L92" s="207"/>
      <c r="M92" s="359" t="s">
        <v>1062</v>
      </c>
      <c r="N92" s="282"/>
      <c r="O92" s="282"/>
      <c r="P92" s="283"/>
    </row>
    <row r="93" spans="1:16" ht="47.1" customHeight="1">
      <c r="A93" s="358">
        <v>84</v>
      </c>
      <c r="B93" s="206" t="s">
        <v>643</v>
      </c>
      <c r="C93" s="327" t="s">
        <v>788</v>
      </c>
      <c r="D93" s="203" t="s">
        <v>789</v>
      </c>
      <c r="E93" s="204">
        <v>24</v>
      </c>
      <c r="F93" s="213">
        <v>30</v>
      </c>
      <c r="G93" s="204" t="s">
        <v>646</v>
      </c>
      <c r="H93" s="206"/>
      <c r="I93" s="206"/>
      <c r="J93" s="204" t="s">
        <v>1065</v>
      </c>
      <c r="K93" s="207"/>
      <c r="L93" s="207"/>
      <c r="M93" s="359"/>
      <c r="N93" s="282"/>
      <c r="O93" s="282"/>
      <c r="P93" s="283"/>
    </row>
    <row r="94" spans="1:16" ht="47.1" customHeight="1">
      <c r="A94" s="358">
        <v>85</v>
      </c>
      <c r="B94" s="206" t="s">
        <v>647</v>
      </c>
      <c r="C94" s="327" t="s">
        <v>854</v>
      </c>
      <c r="D94" s="203" t="s">
        <v>855</v>
      </c>
      <c r="E94" s="204">
        <v>24</v>
      </c>
      <c r="F94" s="213">
        <v>30</v>
      </c>
      <c r="G94" s="204" t="s">
        <v>646</v>
      </c>
      <c r="H94" s="206"/>
      <c r="I94" s="206"/>
      <c r="J94" s="204" t="s">
        <v>1065</v>
      </c>
      <c r="K94" s="207"/>
      <c r="L94" s="207"/>
      <c r="M94" s="359"/>
      <c r="N94" s="282"/>
      <c r="O94" s="282"/>
      <c r="P94" s="283"/>
    </row>
    <row r="95" spans="1:16" ht="47.1" customHeight="1">
      <c r="A95" s="358">
        <v>86</v>
      </c>
      <c r="B95" s="206" t="s">
        <v>648</v>
      </c>
      <c r="C95" s="327" t="s">
        <v>822</v>
      </c>
      <c r="D95" s="203" t="s">
        <v>823</v>
      </c>
      <c r="E95" s="204">
        <v>24</v>
      </c>
      <c r="F95" s="213">
        <v>60</v>
      </c>
      <c r="G95" s="204" t="s">
        <v>646</v>
      </c>
      <c r="H95" s="206"/>
      <c r="I95" s="206"/>
      <c r="J95" s="204" t="s">
        <v>1065</v>
      </c>
      <c r="K95" s="207"/>
      <c r="L95" s="207"/>
      <c r="M95" s="359"/>
      <c r="N95" s="282"/>
      <c r="O95" s="282"/>
      <c r="P95" s="283"/>
    </row>
    <row r="96" spans="1:16" ht="47.1" customHeight="1">
      <c r="A96" s="358">
        <v>87</v>
      </c>
      <c r="B96" s="329" t="s">
        <v>1002</v>
      </c>
      <c r="C96" s="205" t="s">
        <v>1003</v>
      </c>
      <c r="D96" s="353" t="s">
        <v>1004</v>
      </c>
      <c r="E96" s="355">
        <v>24</v>
      </c>
      <c r="F96" s="356">
        <v>1</v>
      </c>
      <c r="G96" s="355" t="s">
        <v>646</v>
      </c>
      <c r="H96" s="206"/>
      <c r="I96" s="206"/>
      <c r="J96" s="204" t="s">
        <v>1065</v>
      </c>
      <c r="K96" s="207"/>
      <c r="L96" s="207"/>
      <c r="M96" s="359" t="s">
        <v>1062</v>
      </c>
      <c r="N96" s="282"/>
      <c r="O96" s="282"/>
      <c r="P96" s="283"/>
    </row>
    <row r="97" spans="1:16" ht="47.1" customHeight="1">
      <c r="A97" s="358">
        <v>88</v>
      </c>
      <c r="B97" s="206" t="s">
        <v>643</v>
      </c>
      <c r="C97" s="327" t="s">
        <v>746</v>
      </c>
      <c r="D97" s="203" t="s">
        <v>1005</v>
      </c>
      <c r="E97" s="204">
        <v>24</v>
      </c>
      <c r="F97" s="213">
        <v>1</v>
      </c>
      <c r="G97" s="204" t="s">
        <v>646</v>
      </c>
      <c r="H97" s="206"/>
      <c r="I97" s="206"/>
      <c r="J97" s="204" t="s">
        <v>1065</v>
      </c>
      <c r="K97" s="207"/>
      <c r="L97" s="207"/>
      <c r="M97" s="359"/>
      <c r="N97" s="282"/>
      <c r="O97" s="282"/>
      <c r="P97" s="283"/>
    </row>
    <row r="98" spans="1:16" ht="47.1" customHeight="1">
      <c r="A98" s="358">
        <v>89</v>
      </c>
      <c r="B98" s="329" t="s">
        <v>647</v>
      </c>
      <c r="C98" s="205" t="s">
        <v>1006</v>
      </c>
      <c r="D98" s="353" t="s">
        <v>1007</v>
      </c>
      <c r="E98" s="355">
        <v>24</v>
      </c>
      <c r="F98" s="356">
        <v>2</v>
      </c>
      <c r="G98" s="355" t="s">
        <v>646</v>
      </c>
      <c r="H98" s="206"/>
      <c r="I98" s="206"/>
      <c r="J98" s="204" t="s">
        <v>1065</v>
      </c>
      <c r="K98" s="207"/>
      <c r="L98" s="207"/>
      <c r="M98" s="359" t="s">
        <v>1062</v>
      </c>
      <c r="N98" s="282"/>
      <c r="O98" s="282"/>
      <c r="P98" s="283"/>
    </row>
    <row r="99" spans="1:16" ht="47.1" customHeight="1">
      <c r="A99" s="358">
        <v>90</v>
      </c>
      <c r="B99" s="206" t="s">
        <v>643</v>
      </c>
      <c r="C99" s="327" t="s">
        <v>678</v>
      </c>
      <c r="D99" s="203" t="s">
        <v>679</v>
      </c>
      <c r="E99" s="204">
        <v>24</v>
      </c>
      <c r="F99" s="213">
        <v>2</v>
      </c>
      <c r="G99" s="204" t="s">
        <v>646</v>
      </c>
      <c r="H99" s="206"/>
      <c r="I99" s="206"/>
      <c r="J99" s="204" t="s">
        <v>1065</v>
      </c>
      <c r="K99" s="207"/>
      <c r="L99" s="207"/>
      <c r="M99" s="359"/>
      <c r="N99" s="282"/>
      <c r="O99" s="282"/>
      <c r="P99" s="283"/>
    </row>
    <row r="100" spans="1:16" ht="47.1" customHeight="1">
      <c r="A100" s="358">
        <v>91</v>
      </c>
      <c r="B100" s="206" t="s">
        <v>647</v>
      </c>
      <c r="C100" s="327" t="s">
        <v>800</v>
      </c>
      <c r="D100" s="203" t="s">
        <v>801</v>
      </c>
      <c r="E100" s="204">
        <v>24</v>
      </c>
      <c r="F100" s="213">
        <v>8</v>
      </c>
      <c r="G100" s="204" t="s">
        <v>646</v>
      </c>
      <c r="H100" s="206"/>
      <c r="I100" s="206"/>
      <c r="J100" s="204" t="s">
        <v>1065</v>
      </c>
      <c r="K100" s="207"/>
      <c r="L100" s="207"/>
      <c r="M100" s="359"/>
      <c r="N100" s="282"/>
      <c r="O100" s="282"/>
      <c r="P100" s="283"/>
    </row>
    <row r="101" spans="1:16" ht="47.1" customHeight="1">
      <c r="A101" s="358">
        <v>92</v>
      </c>
      <c r="B101" s="206" t="s">
        <v>648</v>
      </c>
      <c r="C101" s="327" t="s">
        <v>858</v>
      </c>
      <c r="D101" s="203" t="s">
        <v>859</v>
      </c>
      <c r="E101" s="204">
        <v>24</v>
      </c>
      <c r="F101" s="213">
        <v>8</v>
      </c>
      <c r="G101" s="204" t="s">
        <v>646</v>
      </c>
      <c r="H101" s="206"/>
      <c r="I101" s="206"/>
      <c r="J101" s="204" t="s">
        <v>1065</v>
      </c>
      <c r="K101" s="207"/>
      <c r="L101" s="207"/>
      <c r="M101" s="359"/>
      <c r="N101" s="282"/>
      <c r="O101" s="282"/>
      <c r="P101" s="283"/>
    </row>
    <row r="102" spans="1:16" ht="47.1" customHeight="1">
      <c r="A102" s="358">
        <v>93</v>
      </c>
      <c r="B102" s="206" t="s">
        <v>651</v>
      </c>
      <c r="C102" s="327" t="s">
        <v>826</v>
      </c>
      <c r="D102" s="203" t="s">
        <v>827</v>
      </c>
      <c r="E102" s="204">
        <v>24</v>
      </c>
      <c r="F102" s="213">
        <v>16</v>
      </c>
      <c r="G102" s="204" t="s">
        <v>646</v>
      </c>
      <c r="H102" s="206"/>
      <c r="I102" s="206"/>
      <c r="J102" s="204" t="s">
        <v>1065</v>
      </c>
      <c r="K102" s="207"/>
      <c r="L102" s="207"/>
      <c r="M102" s="359"/>
      <c r="N102" s="282"/>
      <c r="O102" s="282"/>
      <c r="P102" s="283"/>
    </row>
    <row r="103" spans="1:16" ht="47.1" customHeight="1">
      <c r="A103" s="358">
        <v>94</v>
      </c>
      <c r="B103" s="329" t="s">
        <v>643</v>
      </c>
      <c r="C103" s="205" t="s">
        <v>1008</v>
      </c>
      <c r="D103" s="353" t="s">
        <v>1009</v>
      </c>
      <c r="E103" s="355">
        <v>24</v>
      </c>
      <c r="F103" s="356">
        <v>2</v>
      </c>
      <c r="G103" s="355" t="s">
        <v>646</v>
      </c>
      <c r="H103" s="206"/>
      <c r="I103" s="206"/>
      <c r="J103" s="204" t="s">
        <v>1066</v>
      </c>
      <c r="K103" s="207"/>
      <c r="L103" s="207"/>
      <c r="M103" s="359" t="s">
        <v>1062</v>
      </c>
      <c r="N103" s="282"/>
      <c r="O103" s="282"/>
      <c r="P103" s="283"/>
    </row>
    <row r="104" spans="1:16" ht="47.1" customHeight="1">
      <c r="A104" s="358">
        <v>95</v>
      </c>
      <c r="B104" s="206" t="s">
        <v>643</v>
      </c>
      <c r="C104" s="327" t="s">
        <v>471</v>
      </c>
      <c r="D104" s="203" t="s">
        <v>1010</v>
      </c>
      <c r="E104" s="204">
        <v>24</v>
      </c>
      <c r="F104" s="213">
        <v>2</v>
      </c>
      <c r="G104" s="204" t="s">
        <v>646</v>
      </c>
      <c r="H104" s="206"/>
      <c r="I104" s="206"/>
      <c r="J104" s="204" t="s">
        <v>1066</v>
      </c>
      <c r="K104" s="207"/>
      <c r="L104" s="207"/>
      <c r="M104" s="359"/>
      <c r="N104" s="282"/>
      <c r="O104" s="282"/>
      <c r="P104" s="283"/>
    </row>
    <row r="105" spans="1:16" ht="47.1" customHeight="1">
      <c r="A105" s="358">
        <v>96</v>
      </c>
      <c r="B105" s="206" t="s">
        <v>648</v>
      </c>
      <c r="C105" s="327" t="s">
        <v>808</v>
      </c>
      <c r="D105" s="203" t="s">
        <v>809</v>
      </c>
      <c r="E105" s="204">
        <v>24</v>
      </c>
      <c r="F105" s="213">
        <v>8</v>
      </c>
      <c r="G105" s="204" t="s">
        <v>646</v>
      </c>
      <c r="H105" s="206"/>
      <c r="I105" s="206"/>
      <c r="J105" s="204" t="s">
        <v>1066</v>
      </c>
      <c r="K105" s="207"/>
      <c r="L105" s="207"/>
      <c r="M105" s="359"/>
      <c r="N105" s="282"/>
      <c r="O105" s="282"/>
      <c r="P105" s="283"/>
    </row>
    <row r="106" spans="1:16" ht="47.1" customHeight="1">
      <c r="A106" s="358">
        <v>97</v>
      </c>
      <c r="B106" s="206" t="s">
        <v>651</v>
      </c>
      <c r="C106" s="327" t="s">
        <v>820</v>
      </c>
      <c r="D106" s="203" t="s">
        <v>821</v>
      </c>
      <c r="E106" s="204">
        <v>24</v>
      </c>
      <c r="F106" s="213">
        <v>16</v>
      </c>
      <c r="G106" s="204" t="s">
        <v>646</v>
      </c>
      <c r="H106" s="206"/>
      <c r="I106" s="206"/>
      <c r="J106" s="204" t="s">
        <v>1066</v>
      </c>
      <c r="K106" s="207"/>
      <c r="L106" s="207"/>
      <c r="M106" s="359"/>
      <c r="N106" s="282"/>
      <c r="O106" s="282"/>
      <c r="P106" s="283"/>
    </row>
    <row r="107" spans="1:16" ht="47.1" customHeight="1">
      <c r="A107" s="358">
        <v>98</v>
      </c>
      <c r="B107" s="206" t="s">
        <v>654</v>
      </c>
      <c r="C107" s="327" t="s">
        <v>852</v>
      </c>
      <c r="D107" s="203" t="s">
        <v>853</v>
      </c>
      <c r="E107" s="204">
        <v>24</v>
      </c>
      <c r="F107" s="213">
        <v>8</v>
      </c>
      <c r="G107" s="204" t="s">
        <v>646</v>
      </c>
      <c r="H107" s="206"/>
      <c r="I107" s="206"/>
      <c r="J107" s="204" t="s">
        <v>1066</v>
      </c>
      <c r="K107" s="207"/>
      <c r="L107" s="207"/>
      <c r="M107" s="359"/>
      <c r="N107" s="282"/>
      <c r="O107" s="282"/>
      <c r="P107" s="283"/>
    </row>
    <row r="108" spans="1:16" ht="47.1" customHeight="1">
      <c r="A108" s="358">
        <v>99</v>
      </c>
      <c r="B108" s="206" t="s">
        <v>665</v>
      </c>
      <c r="C108" s="327" t="s">
        <v>816</v>
      </c>
      <c r="D108" s="203" t="s">
        <v>817</v>
      </c>
      <c r="E108" s="204">
        <v>24</v>
      </c>
      <c r="F108" s="213">
        <v>8</v>
      </c>
      <c r="G108" s="204" t="s">
        <v>646</v>
      </c>
      <c r="H108" s="206"/>
      <c r="I108" s="206"/>
      <c r="J108" s="204" t="s">
        <v>1066</v>
      </c>
      <c r="K108" s="207"/>
      <c r="L108" s="207"/>
      <c r="M108" s="359"/>
      <c r="N108" s="282"/>
      <c r="O108" s="282"/>
      <c r="P108" s="283"/>
    </row>
    <row r="109" spans="1:16" ht="47.1" customHeight="1">
      <c r="A109" s="358">
        <v>100</v>
      </c>
      <c r="B109" s="329" t="s">
        <v>643</v>
      </c>
      <c r="C109" s="205" t="s">
        <v>1011</v>
      </c>
      <c r="D109" s="353" t="s">
        <v>1012</v>
      </c>
      <c r="E109" s="355">
        <v>24</v>
      </c>
      <c r="F109" s="356">
        <v>3</v>
      </c>
      <c r="G109" s="355" t="s">
        <v>646</v>
      </c>
      <c r="H109" s="206"/>
      <c r="I109" s="206"/>
      <c r="J109" s="204" t="s">
        <v>562</v>
      </c>
      <c r="K109" s="207"/>
      <c r="L109" s="207"/>
      <c r="M109" s="359" t="s">
        <v>1062</v>
      </c>
      <c r="N109" s="282"/>
      <c r="O109" s="282"/>
      <c r="P109" s="283"/>
    </row>
    <row r="110" spans="1:16" ht="47.1" customHeight="1">
      <c r="A110" s="358">
        <v>101</v>
      </c>
      <c r="B110" s="206" t="s">
        <v>647</v>
      </c>
      <c r="C110" s="327" t="s">
        <v>848</v>
      </c>
      <c r="D110" s="203" t="s">
        <v>849</v>
      </c>
      <c r="E110" s="204">
        <v>24</v>
      </c>
      <c r="F110" s="213">
        <v>36</v>
      </c>
      <c r="G110" s="204" t="s">
        <v>646</v>
      </c>
      <c r="H110" s="206"/>
      <c r="I110" s="206"/>
      <c r="J110" s="204" t="s">
        <v>562</v>
      </c>
      <c r="K110" s="207"/>
      <c r="L110" s="207"/>
      <c r="M110" s="359"/>
      <c r="N110" s="282"/>
      <c r="O110" s="282"/>
      <c r="P110" s="283"/>
    </row>
    <row r="111" spans="1:16" ht="47.1" customHeight="1">
      <c r="A111" s="358">
        <v>102</v>
      </c>
      <c r="B111" s="206" t="s">
        <v>648</v>
      </c>
      <c r="C111" s="327" t="s">
        <v>814</v>
      </c>
      <c r="D111" s="203" t="s">
        <v>815</v>
      </c>
      <c r="E111" s="204">
        <v>24</v>
      </c>
      <c r="F111" s="213">
        <v>36</v>
      </c>
      <c r="G111" s="204" t="s">
        <v>646</v>
      </c>
      <c r="H111" s="206"/>
      <c r="I111" s="206"/>
      <c r="J111" s="204" t="s">
        <v>562</v>
      </c>
      <c r="K111" s="207"/>
      <c r="L111" s="207"/>
      <c r="M111" s="359"/>
      <c r="N111" s="282"/>
      <c r="O111" s="282"/>
      <c r="P111" s="283"/>
    </row>
    <row r="112" spans="1:16" ht="47.1" customHeight="1">
      <c r="A112" s="358">
        <v>103</v>
      </c>
      <c r="B112" s="206" t="s">
        <v>654</v>
      </c>
      <c r="C112" s="327" t="s">
        <v>860</v>
      </c>
      <c r="D112" s="203" t="s">
        <v>861</v>
      </c>
      <c r="E112" s="204">
        <v>24</v>
      </c>
      <c r="F112" s="213">
        <v>36</v>
      </c>
      <c r="G112" s="204" t="s">
        <v>646</v>
      </c>
      <c r="H112" s="206"/>
      <c r="I112" s="206"/>
      <c r="J112" s="204" t="s">
        <v>562</v>
      </c>
      <c r="K112" s="207"/>
      <c r="L112" s="207"/>
      <c r="M112" s="359"/>
      <c r="N112" s="282"/>
      <c r="O112" s="282"/>
      <c r="P112" s="283"/>
    </row>
    <row r="113" spans="1:16" ht="47.1" customHeight="1">
      <c r="A113" s="358">
        <v>104</v>
      </c>
      <c r="B113" s="329" t="s">
        <v>647</v>
      </c>
      <c r="C113" s="205" t="s">
        <v>1011</v>
      </c>
      <c r="D113" s="353" t="s">
        <v>1012</v>
      </c>
      <c r="E113" s="355">
        <v>24</v>
      </c>
      <c r="F113" s="356">
        <v>1</v>
      </c>
      <c r="G113" s="355" t="s">
        <v>646</v>
      </c>
      <c r="H113" s="206"/>
      <c r="I113" s="206"/>
      <c r="J113" s="204" t="s">
        <v>562</v>
      </c>
      <c r="K113" s="207"/>
      <c r="L113" s="207"/>
      <c r="M113" s="359" t="s">
        <v>1062</v>
      </c>
      <c r="N113" s="282"/>
      <c r="O113" s="282"/>
      <c r="P113" s="283"/>
    </row>
    <row r="114" spans="1:16" ht="47.1" customHeight="1">
      <c r="A114" s="358">
        <v>105</v>
      </c>
      <c r="B114" s="206" t="s">
        <v>647</v>
      </c>
      <c r="C114" s="327" t="s">
        <v>848</v>
      </c>
      <c r="D114" s="203" t="s">
        <v>849</v>
      </c>
      <c r="E114" s="204">
        <v>24</v>
      </c>
      <c r="F114" s="213">
        <v>12</v>
      </c>
      <c r="G114" s="204" t="s">
        <v>646</v>
      </c>
      <c r="H114" s="206"/>
      <c r="I114" s="206"/>
      <c r="J114" s="204" t="s">
        <v>562</v>
      </c>
      <c r="K114" s="207"/>
      <c r="L114" s="207"/>
      <c r="M114" s="359"/>
      <c r="N114" s="282"/>
      <c r="O114" s="282"/>
      <c r="P114" s="283"/>
    </row>
    <row r="115" spans="1:16" ht="47.1" customHeight="1">
      <c r="A115" s="358">
        <v>106</v>
      </c>
      <c r="B115" s="206" t="s">
        <v>648</v>
      </c>
      <c r="C115" s="327" t="s">
        <v>814</v>
      </c>
      <c r="D115" s="203" t="s">
        <v>815</v>
      </c>
      <c r="E115" s="204">
        <v>24</v>
      </c>
      <c r="F115" s="213">
        <v>12</v>
      </c>
      <c r="G115" s="204" t="s">
        <v>646</v>
      </c>
      <c r="H115" s="206"/>
      <c r="I115" s="206"/>
      <c r="J115" s="204" t="s">
        <v>562</v>
      </c>
      <c r="K115" s="207"/>
      <c r="L115" s="207"/>
      <c r="M115" s="359"/>
      <c r="N115" s="282"/>
      <c r="O115" s="282"/>
      <c r="P115" s="283"/>
    </row>
    <row r="116" spans="1:16" ht="47.1" customHeight="1">
      <c r="A116" s="358">
        <v>107</v>
      </c>
      <c r="B116" s="206" t="s">
        <v>654</v>
      </c>
      <c r="C116" s="327" t="s">
        <v>860</v>
      </c>
      <c r="D116" s="203" t="s">
        <v>861</v>
      </c>
      <c r="E116" s="204">
        <v>24</v>
      </c>
      <c r="F116" s="213">
        <v>12</v>
      </c>
      <c r="G116" s="204" t="s">
        <v>646</v>
      </c>
      <c r="H116" s="206"/>
      <c r="I116" s="206"/>
      <c r="J116" s="204" t="s">
        <v>562</v>
      </c>
      <c r="K116" s="207"/>
      <c r="L116" s="207"/>
      <c r="M116" s="359"/>
      <c r="N116" s="282"/>
      <c r="O116" s="282"/>
      <c r="P116" s="283"/>
    </row>
    <row r="117" spans="1:16" ht="47.1" customHeight="1">
      <c r="A117" s="358">
        <v>108</v>
      </c>
      <c r="B117" s="329" t="s">
        <v>648</v>
      </c>
      <c r="C117" s="205" t="s">
        <v>1013</v>
      </c>
      <c r="D117" s="353" t="s">
        <v>1012</v>
      </c>
      <c r="E117" s="355">
        <v>24</v>
      </c>
      <c r="F117" s="356">
        <v>8</v>
      </c>
      <c r="G117" s="355" t="s">
        <v>646</v>
      </c>
      <c r="H117" s="206"/>
      <c r="I117" s="206"/>
      <c r="J117" s="204" t="s">
        <v>562</v>
      </c>
      <c r="K117" s="207"/>
      <c r="L117" s="207"/>
      <c r="M117" s="359" t="s">
        <v>1062</v>
      </c>
      <c r="N117" s="282"/>
      <c r="O117" s="282"/>
      <c r="P117" s="283"/>
    </row>
    <row r="118" spans="1:16" ht="47.1" customHeight="1">
      <c r="A118" s="358">
        <v>109</v>
      </c>
      <c r="B118" s="206" t="s">
        <v>647</v>
      </c>
      <c r="C118" s="327" t="s">
        <v>842</v>
      </c>
      <c r="D118" s="203" t="s">
        <v>843</v>
      </c>
      <c r="E118" s="204">
        <v>24</v>
      </c>
      <c r="F118" s="213">
        <v>48</v>
      </c>
      <c r="G118" s="204" t="s">
        <v>646</v>
      </c>
      <c r="H118" s="206"/>
      <c r="I118" s="206"/>
      <c r="J118" s="204" t="s">
        <v>562</v>
      </c>
      <c r="K118" s="207"/>
      <c r="L118" s="207"/>
      <c r="M118" s="359"/>
      <c r="N118" s="282"/>
      <c r="O118" s="282"/>
      <c r="P118" s="283"/>
    </row>
    <row r="119" spans="1:16" ht="47.1" customHeight="1">
      <c r="A119" s="358">
        <v>110</v>
      </c>
      <c r="B119" s="206" t="s">
        <v>648</v>
      </c>
      <c r="C119" s="327" t="s">
        <v>703</v>
      </c>
      <c r="D119" s="203" t="s">
        <v>704</v>
      </c>
      <c r="E119" s="204">
        <v>24</v>
      </c>
      <c r="F119" s="213">
        <v>48</v>
      </c>
      <c r="G119" s="204" t="s">
        <v>646</v>
      </c>
      <c r="H119" s="206"/>
      <c r="I119" s="206"/>
      <c r="J119" s="204" t="s">
        <v>562</v>
      </c>
      <c r="K119" s="207"/>
      <c r="L119" s="207"/>
      <c r="M119" s="359"/>
      <c r="N119" s="282"/>
      <c r="O119" s="282"/>
      <c r="P119" s="283"/>
    </row>
    <row r="120" spans="1:16" ht="47.1" customHeight="1">
      <c r="A120" s="358">
        <v>111</v>
      </c>
      <c r="B120" s="206" t="s">
        <v>654</v>
      </c>
      <c r="C120" s="327" t="s">
        <v>705</v>
      </c>
      <c r="D120" s="203" t="s">
        <v>706</v>
      </c>
      <c r="E120" s="204">
        <v>24</v>
      </c>
      <c r="F120" s="213">
        <v>48</v>
      </c>
      <c r="G120" s="204" t="s">
        <v>646</v>
      </c>
      <c r="H120" s="206"/>
      <c r="I120" s="206"/>
      <c r="J120" s="204" t="s">
        <v>562</v>
      </c>
      <c r="K120" s="207"/>
      <c r="L120" s="207"/>
      <c r="M120" s="359"/>
      <c r="N120" s="282"/>
      <c r="O120" s="282"/>
      <c r="P120" s="283"/>
    </row>
    <row r="121" spans="1:16" ht="47.1" customHeight="1">
      <c r="A121" s="358">
        <v>112</v>
      </c>
      <c r="B121" s="329" t="s">
        <v>651</v>
      </c>
      <c r="C121" s="205" t="s">
        <v>1014</v>
      </c>
      <c r="D121" s="353" t="s">
        <v>1015</v>
      </c>
      <c r="E121" s="355">
        <v>24</v>
      </c>
      <c r="F121" s="356">
        <v>1</v>
      </c>
      <c r="G121" s="355" t="s">
        <v>646</v>
      </c>
      <c r="H121" s="206"/>
      <c r="I121" s="206"/>
      <c r="J121" s="204" t="s">
        <v>562</v>
      </c>
      <c r="K121" s="207"/>
      <c r="L121" s="207"/>
      <c r="M121" s="359" t="s">
        <v>1062</v>
      </c>
      <c r="N121" s="282"/>
      <c r="O121" s="282"/>
      <c r="P121" s="283"/>
    </row>
    <row r="122" spans="1:16" ht="47.1" customHeight="1">
      <c r="A122" s="358">
        <v>113</v>
      </c>
      <c r="B122" s="206" t="s">
        <v>647</v>
      </c>
      <c r="C122" s="327" t="s">
        <v>840</v>
      </c>
      <c r="D122" s="203" t="s">
        <v>841</v>
      </c>
      <c r="E122" s="204">
        <v>24</v>
      </c>
      <c r="F122" s="213">
        <v>10</v>
      </c>
      <c r="G122" s="204" t="s">
        <v>646</v>
      </c>
      <c r="H122" s="206"/>
      <c r="I122" s="206"/>
      <c r="J122" s="204" t="s">
        <v>562</v>
      </c>
      <c r="K122" s="207"/>
      <c r="L122" s="207"/>
      <c r="M122" s="359"/>
      <c r="N122" s="282"/>
      <c r="O122" s="282"/>
      <c r="P122" s="283"/>
    </row>
    <row r="123" spans="1:16" ht="47.1" customHeight="1">
      <c r="A123" s="358">
        <v>114</v>
      </c>
      <c r="B123" s="206" t="s">
        <v>648</v>
      </c>
      <c r="C123" s="327" t="s">
        <v>824</v>
      </c>
      <c r="D123" s="203" t="s">
        <v>825</v>
      </c>
      <c r="E123" s="204">
        <v>24</v>
      </c>
      <c r="F123" s="213">
        <v>10</v>
      </c>
      <c r="G123" s="204" t="s">
        <v>646</v>
      </c>
      <c r="H123" s="206"/>
      <c r="I123" s="206"/>
      <c r="J123" s="204" t="s">
        <v>562</v>
      </c>
      <c r="K123" s="207"/>
      <c r="L123" s="207"/>
      <c r="M123" s="359"/>
      <c r="N123" s="282"/>
      <c r="O123" s="282"/>
      <c r="P123" s="283"/>
    </row>
    <row r="124" spans="1:16" ht="47.1" customHeight="1">
      <c r="A124" s="358">
        <v>115</v>
      </c>
      <c r="B124" s="206" t="s">
        <v>651</v>
      </c>
      <c r="C124" s="327" t="s">
        <v>705</v>
      </c>
      <c r="D124" s="203" t="s">
        <v>706</v>
      </c>
      <c r="E124" s="204">
        <v>24</v>
      </c>
      <c r="F124" s="213">
        <v>10</v>
      </c>
      <c r="G124" s="204" t="s">
        <v>646</v>
      </c>
      <c r="H124" s="206"/>
      <c r="I124" s="206"/>
      <c r="J124" s="204" t="s">
        <v>562</v>
      </c>
      <c r="K124" s="207"/>
      <c r="L124" s="207"/>
      <c r="M124" s="359"/>
      <c r="N124" s="282"/>
      <c r="O124" s="282"/>
      <c r="P124" s="283"/>
    </row>
    <row r="125" spans="1:16" ht="47.1" customHeight="1">
      <c r="A125" s="358">
        <v>116</v>
      </c>
      <c r="B125" s="329" t="s">
        <v>654</v>
      </c>
      <c r="C125" s="205" t="s">
        <v>1016</v>
      </c>
      <c r="D125" s="353" t="s">
        <v>1017</v>
      </c>
      <c r="E125" s="355">
        <v>24</v>
      </c>
      <c r="F125" s="356">
        <v>1</v>
      </c>
      <c r="G125" s="355" t="s">
        <v>646</v>
      </c>
      <c r="H125" s="206"/>
      <c r="I125" s="206"/>
      <c r="J125" s="204" t="s">
        <v>562</v>
      </c>
      <c r="K125" s="207"/>
      <c r="L125" s="207"/>
      <c r="M125" s="359" t="s">
        <v>1062</v>
      </c>
      <c r="N125" s="282"/>
      <c r="O125" s="282"/>
      <c r="P125" s="283"/>
    </row>
    <row r="126" spans="1:16" ht="47.1" customHeight="1">
      <c r="A126" s="358">
        <v>117</v>
      </c>
      <c r="B126" s="206" t="s">
        <v>647</v>
      </c>
      <c r="C126" s="327" t="s">
        <v>840</v>
      </c>
      <c r="D126" s="203" t="s">
        <v>841</v>
      </c>
      <c r="E126" s="204">
        <v>24</v>
      </c>
      <c r="F126" s="213">
        <v>10</v>
      </c>
      <c r="G126" s="204" t="s">
        <v>646</v>
      </c>
      <c r="H126" s="206"/>
      <c r="I126" s="206"/>
      <c r="J126" s="204" t="s">
        <v>562</v>
      </c>
      <c r="K126" s="207"/>
      <c r="L126" s="207"/>
      <c r="M126" s="359"/>
      <c r="N126" s="282"/>
      <c r="O126" s="282"/>
      <c r="P126" s="283"/>
    </row>
    <row r="127" spans="1:16" ht="47.1" customHeight="1">
      <c r="A127" s="358">
        <v>118</v>
      </c>
      <c r="B127" s="206" t="s">
        <v>648</v>
      </c>
      <c r="C127" s="327" t="s">
        <v>824</v>
      </c>
      <c r="D127" s="203" t="s">
        <v>825</v>
      </c>
      <c r="E127" s="204">
        <v>24</v>
      </c>
      <c r="F127" s="213">
        <v>10</v>
      </c>
      <c r="G127" s="204" t="s">
        <v>646</v>
      </c>
      <c r="H127" s="206"/>
      <c r="I127" s="206"/>
      <c r="J127" s="204" t="s">
        <v>562</v>
      </c>
      <c r="K127" s="207"/>
      <c r="L127" s="207"/>
      <c r="M127" s="359"/>
      <c r="N127" s="282"/>
      <c r="O127" s="282"/>
      <c r="P127" s="283"/>
    </row>
    <row r="128" spans="1:16" ht="47.1" customHeight="1">
      <c r="A128" s="358">
        <v>119</v>
      </c>
      <c r="B128" s="206" t="s">
        <v>651</v>
      </c>
      <c r="C128" s="327" t="s">
        <v>705</v>
      </c>
      <c r="D128" s="203" t="s">
        <v>706</v>
      </c>
      <c r="E128" s="204">
        <v>24</v>
      </c>
      <c r="F128" s="213">
        <v>10</v>
      </c>
      <c r="G128" s="204" t="s">
        <v>646</v>
      </c>
      <c r="H128" s="206"/>
      <c r="I128" s="206"/>
      <c r="J128" s="204" t="s">
        <v>562</v>
      </c>
      <c r="K128" s="207"/>
      <c r="L128" s="207"/>
      <c r="M128" s="359"/>
      <c r="N128" s="282"/>
      <c r="O128" s="282"/>
      <c r="P128" s="283"/>
    </row>
    <row r="129" spans="1:16" ht="47.1" customHeight="1">
      <c r="A129" s="358">
        <v>120</v>
      </c>
      <c r="B129" s="329" t="s">
        <v>657</v>
      </c>
      <c r="C129" s="205" t="s">
        <v>1018</v>
      </c>
      <c r="D129" s="353" t="s">
        <v>1019</v>
      </c>
      <c r="E129" s="355">
        <v>24</v>
      </c>
      <c r="F129" s="356">
        <v>2</v>
      </c>
      <c r="G129" s="355" t="s">
        <v>646</v>
      </c>
      <c r="H129" s="206"/>
      <c r="I129" s="206"/>
      <c r="J129" s="204" t="s">
        <v>562</v>
      </c>
      <c r="K129" s="207"/>
      <c r="L129" s="207"/>
      <c r="M129" s="359" t="s">
        <v>1062</v>
      </c>
      <c r="N129" s="282"/>
      <c r="O129" s="282"/>
      <c r="P129" s="283"/>
    </row>
    <row r="130" spans="1:16" ht="47.1" customHeight="1">
      <c r="A130" s="358">
        <v>121</v>
      </c>
      <c r="B130" s="206" t="s">
        <v>647</v>
      </c>
      <c r="C130" s="327" t="s">
        <v>840</v>
      </c>
      <c r="D130" s="203" t="s">
        <v>841</v>
      </c>
      <c r="E130" s="204">
        <v>24</v>
      </c>
      <c r="F130" s="213">
        <v>15</v>
      </c>
      <c r="G130" s="204" t="s">
        <v>646</v>
      </c>
      <c r="H130" s="206"/>
      <c r="I130" s="206"/>
      <c r="J130" s="204" t="s">
        <v>562</v>
      </c>
      <c r="K130" s="207"/>
      <c r="L130" s="207"/>
      <c r="M130" s="359"/>
      <c r="N130" s="282"/>
      <c r="O130" s="282"/>
      <c r="P130" s="283"/>
    </row>
    <row r="131" spans="1:16" ht="47.1" customHeight="1">
      <c r="A131" s="358">
        <v>122</v>
      </c>
      <c r="B131" s="206" t="s">
        <v>648</v>
      </c>
      <c r="C131" s="327" t="s">
        <v>824</v>
      </c>
      <c r="D131" s="203" t="s">
        <v>825</v>
      </c>
      <c r="E131" s="204">
        <v>24</v>
      </c>
      <c r="F131" s="213">
        <v>15</v>
      </c>
      <c r="G131" s="204" t="s">
        <v>646</v>
      </c>
      <c r="H131" s="206"/>
      <c r="I131" s="206"/>
      <c r="J131" s="204" t="s">
        <v>562</v>
      </c>
      <c r="K131" s="207"/>
      <c r="L131" s="207"/>
      <c r="M131" s="359"/>
      <c r="N131" s="282"/>
      <c r="O131" s="282"/>
      <c r="P131" s="283"/>
    </row>
    <row r="132" spans="1:16" ht="47.1" customHeight="1">
      <c r="A132" s="358">
        <v>123</v>
      </c>
      <c r="B132" s="206" t="s">
        <v>651</v>
      </c>
      <c r="C132" s="327" t="s">
        <v>705</v>
      </c>
      <c r="D132" s="203" t="s">
        <v>706</v>
      </c>
      <c r="E132" s="204">
        <v>24</v>
      </c>
      <c r="F132" s="213">
        <v>15</v>
      </c>
      <c r="G132" s="204" t="s">
        <v>646</v>
      </c>
      <c r="H132" s="206"/>
      <c r="I132" s="206"/>
      <c r="J132" s="204" t="s">
        <v>562</v>
      </c>
      <c r="K132" s="207"/>
      <c r="L132" s="207"/>
      <c r="M132" s="359"/>
      <c r="N132" s="282"/>
      <c r="O132" s="282"/>
      <c r="P132" s="283"/>
    </row>
    <row r="133" spans="1:16" ht="47.1" customHeight="1">
      <c r="A133" s="358">
        <v>124</v>
      </c>
      <c r="B133" s="329" t="s">
        <v>665</v>
      </c>
      <c r="C133" s="205" t="s">
        <v>1020</v>
      </c>
      <c r="D133" s="353" t="s">
        <v>1021</v>
      </c>
      <c r="E133" s="355">
        <v>24</v>
      </c>
      <c r="F133" s="356">
        <v>4</v>
      </c>
      <c r="G133" s="355" t="s">
        <v>646</v>
      </c>
      <c r="H133" s="206"/>
      <c r="I133" s="206"/>
      <c r="J133" s="204" t="s">
        <v>562</v>
      </c>
      <c r="K133" s="207"/>
      <c r="L133" s="207"/>
      <c r="M133" s="359" t="s">
        <v>1062</v>
      </c>
      <c r="N133" s="282"/>
      <c r="O133" s="282"/>
      <c r="P133" s="283"/>
    </row>
    <row r="134" spans="1:16" ht="47.1" customHeight="1">
      <c r="A134" s="358">
        <v>125</v>
      </c>
      <c r="B134" s="206" t="s">
        <v>647</v>
      </c>
      <c r="C134" s="327" t="s">
        <v>840</v>
      </c>
      <c r="D134" s="203" t="s">
        <v>841</v>
      </c>
      <c r="E134" s="204">
        <v>24</v>
      </c>
      <c r="F134" s="213">
        <v>15</v>
      </c>
      <c r="G134" s="204" t="s">
        <v>646</v>
      </c>
      <c r="H134" s="206"/>
      <c r="I134" s="206"/>
      <c r="J134" s="204" t="s">
        <v>562</v>
      </c>
      <c r="K134" s="207"/>
      <c r="L134" s="207"/>
      <c r="M134" s="359"/>
      <c r="N134" s="282"/>
      <c r="O134" s="282"/>
      <c r="P134" s="283"/>
    </row>
    <row r="135" spans="1:16" ht="47.1" customHeight="1">
      <c r="A135" s="358">
        <v>126</v>
      </c>
      <c r="B135" s="206" t="s">
        <v>648</v>
      </c>
      <c r="C135" s="327" t="s">
        <v>824</v>
      </c>
      <c r="D135" s="203" t="s">
        <v>825</v>
      </c>
      <c r="E135" s="204">
        <v>24</v>
      </c>
      <c r="F135" s="213">
        <v>15</v>
      </c>
      <c r="G135" s="204" t="s">
        <v>646</v>
      </c>
      <c r="H135" s="206"/>
      <c r="I135" s="206"/>
      <c r="J135" s="204" t="s">
        <v>562</v>
      </c>
      <c r="K135" s="207"/>
      <c r="L135" s="207"/>
      <c r="M135" s="359"/>
      <c r="N135" s="282"/>
      <c r="O135" s="282"/>
      <c r="P135" s="283"/>
    </row>
    <row r="136" spans="1:16" ht="47.1" customHeight="1">
      <c r="A136" s="358">
        <v>127</v>
      </c>
      <c r="B136" s="206" t="s">
        <v>651</v>
      </c>
      <c r="C136" s="327" t="s">
        <v>705</v>
      </c>
      <c r="D136" s="203" t="s">
        <v>706</v>
      </c>
      <c r="E136" s="204">
        <v>24</v>
      </c>
      <c r="F136" s="213">
        <v>15</v>
      </c>
      <c r="G136" s="204" t="s">
        <v>646</v>
      </c>
      <c r="H136" s="206"/>
      <c r="I136" s="206"/>
      <c r="J136" s="204" t="s">
        <v>562</v>
      </c>
      <c r="K136" s="207"/>
      <c r="L136" s="207"/>
      <c r="M136" s="359"/>
      <c r="N136" s="282"/>
      <c r="O136" s="282"/>
      <c r="P136" s="283"/>
    </row>
    <row r="137" spans="1:16" ht="47.1" customHeight="1">
      <c r="A137" s="358">
        <v>128</v>
      </c>
      <c r="B137" s="329" t="s">
        <v>1022</v>
      </c>
      <c r="C137" s="205" t="s">
        <v>1023</v>
      </c>
      <c r="D137" s="353" t="s">
        <v>1024</v>
      </c>
      <c r="E137" s="355">
        <v>24</v>
      </c>
      <c r="F137" s="356">
        <v>2</v>
      </c>
      <c r="G137" s="355" t="s">
        <v>646</v>
      </c>
      <c r="H137" s="206"/>
      <c r="I137" s="206"/>
      <c r="J137" s="204" t="s">
        <v>562</v>
      </c>
      <c r="K137" s="207"/>
      <c r="L137" s="207"/>
      <c r="M137" s="359" t="s">
        <v>1062</v>
      </c>
      <c r="N137" s="282"/>
      <c r="O137" s="282"/>
      <c r="P137" s="283"/>
    </row>
    <row r="138" spans="1:16" ht="47.1" customHeight="1">
      <c r="A138" s="358">
        <v>129</v>
      </c>
      <c r="B138" s="206" t="s">
        <v>643</v>
      </c>
      <c r="C138" s="327" t="s">
        <v>796</v>
      </c>
      <c r="D138" s="203" t="s">
        <v>797</v>
      </c>
      <c r="E138" s="204">
        <v>24</v>
      </c>
      <c r="F138" s="213">
        <v>8</v>
      </c>
      <c r="G138" s="204" t="s">
        <v>646</v>
      </c>
      <c r="H138" s="206"/>
      <c r="I138" s="206"/>
      <c r="J138" s="204" t="s">
        <v>562</v>
      </c>
      <c r="K138" s="207"/>
      <c r="L138" s="207"/>
      <c r="M138" s="359"/>
      <c r="N138" s="282"/>
      <c r="O138" s="282"/>
      <c r="P138" s="283"/>
    </row>
    <row r="139" spans="1:16" ht="47.1" customHeight="1">
      <c r="A139" s="358">
        <v>130</v>
      </c>
      <c r="B139" s="206" t="s">
        <v>647</v>
      </c>
      <c r="C139" s="327" t="s">
        <v>826</v>
      </c>
      <c r="D139" s="203" t="s">
        <v>827</v>
      </c>
      <c r="E139" s="204">
        <v>24</v>
      </c>
      <c r="F139" s="213">
        <v>16</v>
      </c>
      <c r="G139" s="204" t="s">
        <v>646</v>
      </c>
      <c r="H139" s="206"/>
      <c r="I139" s="206"/>
      <c r="J139" s="204" t="s">
        <v>562</v>
      </c>
      <c r="K139" s="207"/>
      <c r="L139" s="207"/>
      <c r="M139" s="359"/>
      <c r="N139" s="282"/>
      <c r="O139" s="282"/>
      <c r="P139" s="283"/>
    </row>
    <row r="140" spans="1:16" ht="47.1" customHeight="1">
      <c r="A140" s="358">
        <v>131</v>
      </c>
      <c r="B140" s="206" t="s">
        <v>651</v>
      </c>
      <c r="C140" s="327" t="s">
        <v>858</v>
      </c>
      <c r="D140" s="203" t="s">
        <v>859</v>
      </c>
      <c r="E140" s="204">
        <v>24</v>
      </c>
      <c r="F140" s="213">
        <v>8</v>
      </c>
      <c r="G140" s="204" t="s">
        <v>646</v>
      </c>
      <c r="H140" s="206"/>
      <c r="I140" s="206"/>
      <c r="J140" s="204" t="s">
        <v>562</v>
      </c>
      <c r="K140" s="207"/>
      <c r="L140" s="207"/>
      <c r="M140" s="359"/>
      <c r="N140" s="282"/>
      <c r="O140" s="282"/>
      <c r="P140" s="283"/>
    </row>
    <row r="141" spans="1:16" ht="47.1" customHeight="1">
      <c r="A141" s="358">
        <v>132</v>
      </c>
      <c r="B141" s="206" t="s">
        <v>654</v>
      </c>
      <c r="C141" s="327" t="s">
        <v>802</v>
      </c>
      <c r="D141" s="203" t="s">
        <v>803</v>
      </c>
      <c r="E141" s="204">
        <v>24</v>
      </c>
      <c r="F141" s="213">
        <v>16</v>
      </c>
      <c r="G141" s="204" t="s">
        <v>646</v>
      </c>
      <c r="H141" s="206"/>
      <c r="I141" s="206"/>
      <c r="J141" s="204" t="s">
        <v>562</v>
      </c>
      <c r="K141" s="207"/>
      <c r="L141" s="207"/>
      <c r="M141" s="359"/>
      <c r="N141" s="282"/>
      <c r="O141" s="282"/>
      <c r="P141" s="283"/>
    </row>
    <row r="142" spans="1:16" ht="47.1" customHeight="1">
      <c r="A142" s="358">
        <v>133</v>
      </c>
      <c r="B142" s="206" t="s">
        <v>657</v>
      </c>
      <c r="C142" s="327" t="s">
        <v>826</v>
      </c>
      <c r="D142" s="203" t="s">
        <v>827</v>
      </c>
      <c r="E142" s="204">
        <v>24</v>
      </c>
      <c r="F142" s="213">
        <v>32</v>
      </c>
      <c r="G142" s="204" t="s">
        <v>646</v>
      </c>
      <c r="H142" s="206"/>
      <c r="I142" s="206"/>
      <c r="J142" s="204" t="s">
        <v>562</v>
      </c>
      <c r="K142" s="207"/>
      <c r="L142" s="207"/>
      <c r="M142" s="359"/>
      <c r="N142" s="282"/>
      <c r="O142" s="282"/>
      <c r="P142" s="283"/>
    </row>
    <row r="143" spans="1:16" ht="47.1" customHeight="1">
      <c r="A143" s="358">
        <v>134</v>
      </c>
      <c r="B143" s="206" t="s">
        <v>663</v>
      </c>
      <c r="C143" s="327" t="s">
        <v>858</v>
      </c>
      <c r="D143" s="203" t="s">
        <v>859</v>
      </c>
      <c r="E143" s="204">
        <v>24</v>
      </c>
      <c r="F143" s="213">
        <v>16</v>
      </c>
      <c r="G143" s="204" t="s">
        <v>646</v>
      </c>
      <c r="H143" s="206"/>
      <c r="I143" s="206"/>
      <c r="J143" s="204" t="s">
        <v>562</v>
      </c>
      <c r="K143" s="207"/>
      <c r="L143" s="207"/>
      <c r="M143" s="359"/>
      <c r="N143" s="282"/>
      <c r="O143" s="282"/>
      <c r="P143" s="283"/>
    </row>
    <row r="144" spans="1:16" ht="47.1" customHeight="1">
      <c r="A144" s="358">
        <v>135</v>
      </c>
      <c r="B144" s="329" t="s">
        <v>1025</v>
      </c>
      <c r="C144" s="205" t="s">
        <v>1026</v>
      </c>
      <c r="D144" s="353" t="s">
        <v>1027</v>
      </c>
      <c r="E144" s="355">
        <v>24</v>
      </c>
      <c r="F144" s="356">
        <v>20</v>
      </c>
      <c r="G144" s="355" t="s">
        <v>646</v>
      </c>
      <c r="H144" s="206"/>
      <c r="I144" s="206"/>
      <c r="J144" s="204" t="s">
        <v>562</v>
      </c>
      <c r="K144" s="207"/>
      <c r="L144" s="207"/>
      <c r="M144" s="359" t="s">
        <v>1062</v>
      </c>
      <c r="N144" s="282"/>
      <c r="O144" s="282"/>
      <c r="P144" s="283"/>
    </row>
    <row r="145" spans="1:16" ht="47.1" customHeight="1">
      <c r="A145" s="358">
        <v>136</v>
      </c>
      <c r="B145" s="206" t="s">
        <v>643</v>
      </c>
      <c r="C145" s="327" t="s">
        <v>806</v>
      </c>
      <c r="D145" s="203" t="s">
        <v>807</v>
      </c>
      <c r="E145" s="204">
        <v>24</v>
      </c>
      <c r="F145" s="213">
        <v>20</v>
      </c>
      <c r="G145" s="204" t="s">
        <v>646</v>
      </c>
      <c r="H145" s="206"/>
      <c r="I145" s="206"/>
      <c r="J145" s="204" t="s">
        <v>562</v>
      </c>
      <c r="K145" s="207"/>
      <c r="L145" s="207"/>
      <c r="M145" s="359"/>
      <c r="N145" s="282"/>
      <c r="O145" s="282"/>
      <c r="P145" s="283"/>
    </row>
    <row r="146" spans="1:16" ht="47.1" customHeight="1">
      <c r="A146" s="358">
        <v>137</v>
      </c>
      <c r="B146" s="206" t="s">
        <v>647</v>
      </c>
      <c r="C146" s="327" t="s">
        <v>860</v>
      </c>
      <c r="D146" s="203" t="s">
        <v>861</v>
      </c>
      <c r="E146" s="204">
        <v>24</v>
      </c>
      <c r="F146" s="213">
        <v>20</v>
      </c>
      <c r="G146" s="204" t="s">
        <v>646</v>
      </c>
      <c r="H146" s="206"/>
      <c r="I146" s="206"/>
      <c r="J146" s="204" t="s">
        <v>562</v>
      </c>
      <c r="K146" s="207"/>
      <c r="L146" s="207"/>
      <c r="M146" s="359"/>
      <c r="N146" s="282"/>
      <c r="O146" s="282"/>
      <c r="P146" s="283"/>
    </row>
    <row r="147" spans="1:16" ht="47.1" customHeight="1">
      <c r="A147" s="358">
        <v>138</v>
      </c>
      <c r="B147" s="206" t="s">
        <v>648</v>
      </c>
      <c r="C147" s="327" t="s">
        <v>830</v>
      </c>
      <c r="D147" s="203" t="s">
        <v>831</v>
      </c>
      <c r="E147" s="204">
        <v>24</v>
      </c>
      <c r="F147" s="213">
        <v>40</v>
      </c>
      <c r="G147" s="204" t="s">
        <v>646</v>
      </c>
      <c r="H147" s="206"/>
      <c r="I147" s="206"/>
      <c r="J147" s="204" t="s">
        <v>562</v>
      </c>
      <c r="K147" s="207"/>
      <c r="L147" s="207"/>
      <c r="M147" s="359"/>
      <c r="N147" s="282"/>
      <c r="O147" s="282"/>
      <c r="P147" s="283"/>
    </row>
    <row r="148" spans="1:16" ht="47.1" customHeight="1">
      <c r="A148" s="358">
        <v>139</v>
      </c>
      <c r="B148" s="329" t="s">
        <v>949</v>
      </c>
      <c r="C148" s="205" t="s">
        <v>1028</v>
      </c>
      <c r="D148" s="353" t="s">
        <v>1029</v>
      </c>
      <c r="E148" s="355">
        <v>24</v>
      </c>
      <c r="F148" s="356">
        <v>1</v>
      </c>
      <c r="G148" s="355" t="s">
        <v>646</v>
      </c>
      <c r="H148" s="206"/>
      <c r="I148" s="206"/>
      <c r="J148" s="204" t="s">
        <v>562</v>
      </c>
      <c r="K148" s="207"/>
      <c r="L148" s="207"/>
      <c r="M148" s="359" t="s">
        <v>1062</v>
      </c>
      <c r="N148" s="282"/>
      <c r="O148" s="282"/>
      <c r="P148" s="283"/>
    </row>
    <row r="149" spans="1:16" ht="47.1" customHeight="1">
      <c r="A149" s="358">
        <v>140</v>
      </c>
      <c r="B149" s="329" t="s">
        <v>647</v>
      </c>
      <c r="C149" s="205" t="s">
        <v>1030</v>
      </c>
      <c r="D149" s="353" t="s">
        <v>1031</v>
      </c>
      <c r="E149" s="355">
        <v>24</v>
      </c>
      <c r="F149" s="356">
        <v>1</v>
      </c>
      <c r="G149" s="355" t="s">
        <v>646</v>
      </c>
      <c r="H149" s="206"/>
      <c r="I149" s="206"/>
      <c r="J149" s="204" t="s">
        <v>562</v>
      </c>
      <c r="K149" s="207"/>
      <c r="L149" s="207"/>
      <c r="M149" s="359" t="s">
        <v>1062</v>
      </c>
      <c r="N149" s="282"/>
      <c r="O149" s="282"/>
      <c r="P149" s="283"/>
    </row>
    <row r="150" spans="1:16" ht="47.1" customHeight="1">
      <c r="A150" s="358">
        <v>141</v>
      </c>
      <c r="B150" s="206" t="s">
        <v>643</v>
      </c>
      <c r="C150" s="327" t="s">
        <v>681</v>
      </c>
      <c r="D150" s="203" t="s">
        <v>682</v>
      </c>
      <c r="E150" s="204">
        <v>24</v>
      </c>
      <c r="F150" s="213">
        <v>1</v>
      </c>
      <c r="G150" s="204" t="s">
        <v>646</v>
      </c>
      <c r="H150" s="206"/>
      <c r="I150" s="206"/>
      <c r="J150" s="204" t="s">
        <v>562</v>
      </c>
      <c r="K150" s="207"/>
      <c r="L150" s="207"/>
      <c r="M150" s="359"/>
      <c r="N150" s="282"/>
      <c r="O150" s="282"/>
      <c r="P150" s="283"/>
    </row>
    <row r="151" spans="1:16" ht="47.1" customHeight="1">
      <c r="A151" s="358">
        <v>142</v>
      </c>
      <c r="B151" s="206" t="s">
        <v>647</v>
      </c>
      <c r="C151" s="327" t="s">
        <v>846</v>
      </c>
      <c r="D151" s="203" t="s">
        <v>847</v>
      </c>
      <c r="E151" s="204">
        <v>24</v>
      </c>
      <c r="F151" s="213">
        <v>8</v>
      </c>
      <c r="G151" s="204" t="s">
        <v>646</v>
      </c>
      <c r="H151" s="206"/>
      <c r="I151" s="206"/>
      <c r="J151" s="204" t="s">
        <v>562</v>
      </c>
      <c r="K151" s="207"/>
      <c r="L151" s="207"/>
      <c r="M151" s="359"/>
      <c r="N151" s="282"/>
      <c r="O151" s="282"/>
      <c r="P151" s="283"/>
    </row>
    <row r="152" spans="1:16" ht="47.1" customHeight="1">
      <c r="A152" s="358">
        <v>143</v>
      </c>
      <c r="B152" s="206" t="s">
        <v>648</v>
      </c>
      <c r="C152" s="327" t="s">
        <v>858</v>
      </c>
      <c r="D152" s="203" t="s">
        <v>859</v>
      </c>
      <c r="E152" s="204">
        <v>24</v>
      </c>
      <c r="F152" s="213">
        <v>8</v>
      </c>
      <c r="G152" s="204" t="s">
        <v>646</v>
      </c>
      <c r="H152" s="206"/>
      <c r="I152" s="206"/>
      <c r="J152" s="204" t="s">
        <v>562</v>
      </c>
      <c r="K152" s="207"/>
      <c r="L152" s="207"/>
      <c r="M152" s="359"/>
      <c r="N152" s="282"/>
      <c r="O152" s="282"/>
      <c r="P152" s="283"/>
    </row>
    <row r="153" spans="1:16" ht="47.1" customHeight="1">
      <c r="A153" s="358">
        <v>144</v>
      </c>
      <c r="B153" s="206" t="s">
        <v>651</v>
      </c>
      <c r="C153" s="327" t="s">
        <v>826</v>
      </c>
      <c r="D153" s="203" t="s">
        <v>827</v>
      </c>
      <c r="E153" s="204">
        <v>24</v>
      </c>
      <c r="F153" s="213">
        <v>8</v>
      </c>
      <c r="G153" s="204" t="s">
        <v>646</v>
      </c>
      <c r="H153" s="206"/>
      <c r="I153" s="206"/>
      <c r="J153" s="204" t="s">
        <v>562</v>
      </c>
      <c r="K153" s="207"/>
      <c r="L153" s="207"/>
      <c r="M153" s="359"/>
      <c r="N153" s="282"/>
      <c r="O153" s="282"/>
      <c r="P153" s="283"/>
    </row>
    <row r="154" spans="1:16" ht="47.1" customHeight="1">
      <c r="A154" s="358">
        <v>145</v>
      </c>
      <c r="B154" s="329" t="s">
        <v>648</v>
      </c>
      <c r="C154" s="205" t="s">
        <v>1032</v>
      </c>
      <c r="D154" s="353" t="s">
        <v>1033</v>
      </c>
      <c r="E154" s="355">
        <v>24</v>
      </c>
      <c r="F154" s="356">
        <v>7</v>
      </c>
      <c r="G154" s="355" t="s">
        <v>646</v>
      </c>
      <c r="H154" s="206"/>
      <c r="I154" s="206"/>
      <c r="J154" s="204" t="s">
        <v>562</v>
      </c>
      <c r="K154" s="207"/>
      <c r="L154" s="207"/>
      <c r="M154" s="359" t="s">
        <v>1062</v>
      </c>
      <c r="N154" s="282"/>
      <c r="O154" s="282"/>
      <c r="P154" s="283"/>
    </row>
    <row r="155" spans="1:16" ht="47.1" customHeight="1">
      <c r="A155" s="358">
        <v>146</v>
      </c>
      <c r="B155" s="206" t="s">
        <v>643</v>
      </c>
      <c r="C155" s="327" t="s">
        <v>681</v>
      </c>
      <c r="D155" s="203" t="s">
        <v>682</v>
      </c>
      <c r="E155" s="204">
        <v>24</v>
      </c>
      <c r="F155" s="213">
        <v>7</v>
      </c>
      <c r="G155" s="204" t="s">
        <v>646</v>
      </c>
      <c r="H155" s="206"/>
      <c r="I155" s="206"/>
      <c r="J155" s="204" t="s">
        <v>562</v>
      </c>
      <c r="K155" s="207"/>
      <c r="L155" s="207"/>
      <c r="M155" s="359"/>
      <c r="N155" s="282"/>
      <c r="O155" s="282"/>
      <c r="P155" s="283"/>
    </row>
    <row r="156" spans="1:16" ht="47.1" customHeight="1">
      <c r="A156" s="358">
        <v>147</v>
      </c>
      <c r="B156" s="206" t="s">
        <v>647</v>
      </c>
      <c r="C156" s="327" t="s">
        <v>802</v>
      </c>
      <c r="D156" s="203" t="s">
        <v>803</v>
      </c>
      <c r="E156" s="204">
        <v>24</v>
      </c>
      <c r="F156" s="213">
        <v>56</v>
      </c>
      <c r="G156" s="204" t="s">
        <v>646</v>
      </c>
      <c r="H156" s="206"/>
      <c r="I156" s="206"/>
      <c r="J156" s="204" t="s">
        <v>562</v>
      </c>
      <c r="K156" s="207"/>
      <c r="L156" s="207"/>
      <c r="M156" s="359"/>
      <c r="N156" s="282"/>
      <c r="O156" s="282"/>
      <c r="P156" s="283"/>
    </row>
    <row r="157" spans="1:16" ht="47.1" customHeight="1">
      <c r="A157" s="358">
        <v>148</v>
      </c>
      <c r="B157" s="206" t="s">
        <v>648</v>
      </c>
      <c r="C157" s="327" t="s">
        <v>858</v>
      </c>
      <c r="D157" s="203" t="s">
        <v>859</v>
      </c>
      <c r="E157" s="204">
        <v>24</v>
      </c>
      <c r="F157" s="213">
        <v>56</v>
      </c>
      <c r="G157" s="204" t="s">
        <v>646</v>
      </c>
      <c r="H157" s="206"/>
      <c r="I157" s="206"/>
      <c r="J157" s="204" t="s">
        <v>562</v>
      </c>
      <c r="K157" s="207"/>
      <c r="L157" s="207"/>
      <c r="M157" s="359"/>
      <c r="N157" s="282"/>
      <c r="O157" s="282"/>
      <c r="P157" s="283"/>
    </row>
    <row r="158" spans="1:16" ht="47.1" customHeight="1">
      <c r="A158" s="358">
        <v>149</v>
      </c>
      <c r="B158" s="206" t="s">
        <v>651</v>
      </c>
      <c r="C158" s="327" t="s">
        <v>826</v>
      </c>
      <c r="D158" s="203" t="s">
        <v>827</v>
      </c>
      <c r="E158" s="204">
        <v>24</v>
      </c>
      <c r="F158" s="213">
        <v>112</v>
      </c>
      <c r="G158" s="204" t="s">
        <v>646</v>
      </c>
      <c r="H158" s="206"/>
      <c r="I158" s="206"/>
      <c r="J158" s="204" t="s">
        <v>562</v>
      </c>
      <c r="K158" s="207"/>
      <c r="L158" s="207"/>
      <c r="M158" s="359"/>
      <c r="N158" s="282"/>
      <c r="O158" s="282"/>
      <c r="P158" s="283"/>
    </row>
    <row r="159" spans="1:16" ht="47.1" customHeight="1">
      <c r="A159" s="358">
        <v>150</v>
      </c>
      <c r="B159" s="206" t="s">
        <v>651</v>
      </c>
      <c r="C159" s="327" t="s">
        <v>1034</v>
      </c>
      <c r="D159" s="203" t="s">
        <v>1035</v>
      </c>
      <c r="E159" s="204">
        <v>24</v>
      </c>
      <c r="F159" s="213">
        <v>2</v>
      </c>
      <c r="G159" s="204" t="s">
        <v>646</v>
      </c>
      <c r="H159" s="206"/>
      <c r="I159" s="206"/>
      <c r="J159" s="204" t="s">
        <v>562</v>
      </c>
      <c r="K159" s="207"/>
      <c r="L159" s="207"/>
      <c r="M159" s="359"/>
      <c r="N159" s="282"/>
      <c r="O159" s="282"/>
      <c r="P159" s="283"/>
    </row>
    <row r="160" spans="1:16" ht="47.1" customHeight="1">
      <c r="A160" s="358">
        <v>151</v>
      </c>
      <c r="B160" s="206" t="s">
        <v>654</v>
      </c>
      <c r="C160" s="327" t="s">
        <v>1036</v>
      </c>
      <c r="D160" s="203" t="s">
        <v>941</v>
      </c>
      <c r="E160" s="204">
        <v>24</v>
      </c>
      <c r="F160" s="213">
        <v>1</v>
      </c>
      <c r="G160" s="204" t="s">
        <v>646</v>
      </c>
      <c r="H160" s="206"/>
      <c r="I160" s="206"/>
      <c r="J160" s="204" t="s">
        <v>562</v>
      </c>
      <c r="K160" s="207"/>
      <c r="L160" s="207"/>
      <c r="M160" s="359"/>
      <c r="N160" s="282"/>
      <c r="O160" s="282"/>
      <c r="P160" s="283"/>
    </row>
    <row r="161" spans="1:16" ht="47.1" customHeight="1">
      <c r="A161" s="358">
        <v>152</v>
      </c>
      <c r="B161" s="329" t="s">
        <v>1037</v>
      </c>
      <c r="C161" s="205" t="s">
        <v>1038</v>
      </c>
      <c r="D161" s="353" t="s">
        <v>1039</v>
      </c>
      <c r="E161" s="355">
        <v>24</v>
      </c>
      <c r="F161" s="356">
        <v>56</v>
      </c>
      <c r="G161" s="355" t="s">
        <v>646</v>
      </c>
      <c r="H161" s="206"/>
      <c r="I161" s="206"/>
      <c r="J161" s="204" t="s">
        <v>562</v>
      </c>
      <c r="K161" s="207"/>
      <c r="L161" s="207"/>
      <c r="M161" s="359" t="s">
        <v>1062</v>
      </c>
      <c r="N161" s="282"/>
      <c r="O161" s="282"/>
      <c r="P161" s="283"/>
    </row>
    <row r="162" spans="1:16" ht="47.1" customHeight="1">
      <c r="A162" s="358">
        <v>153</v>
      </c>
      <c r="B162" s="206" t="s">
        <v>648</v>
      </c>
      <c r="C162" s="327" t="s">
        <v>826</v>
      </c>
      <c r="D162" s="203" t="s">
        <v>827</v>
      </c>
      <c r="E162" s="204">
        <v>24</v>
      </c>
      <c r="F162" s="213">
        <v>56</v>
      </c>
      <c r="G162" s="204" t="s">
        <v>646</v>
      </c>
      <c r="H162" s="206"/>
      <c r="I162" s="206"/>
      <c r="J162" s="204" t="s">
        <v>562</v>
      </c>
      <c r="K162" s="207"/>
      <c r="L162" s="207"/>
      <c r="M162" s="359"/>
      <c r="N162" s="282"/>
      <c r="O162" s="282"/>
      <c r="P162" s="283"/>
    </row>
    <row r="163" spans="1:16" ht="47.1" customHeight="1">
      <c r="A163" s="358">
        <v>154</v>
      </c>
      <c r="B163" s="206" t="s">
        <v>651</v>
      </c>
      <c r="C163" s="327" t="s">
        <v>858</v>
      </c>
      <c r="D163" s="203" t="s">
        <v>859</v>
      </c>
      <c r="E163" s="204">
        <v>24</v>
      </c>
      <c r="F163" s="213">
        <v>56</v>
      </c>
      <c r="G163" s="204" t="s">
        <v>646</v>
      </c>
      <c r="H163" s="206"/>
      <c r="I163" s="206"/>
      <c r="J163" s="204" t="s">
        <v>562</v>
      </c>
      <c r="K163" s="207"/>
      <c r="L163" s="207"/>
      <c r="M163" s="359"/>
      <c r="N163" s="282"/>
      <c r="O163" s="282"/>
      <c r="P163" s="283"/>
    </row>
    <row r="164" spans="1:16" ht="47.1" customHeight="1">
      <c r="A164" s="358">
        <v>155</v>
      </c>
      <c r="B164" s="206" t="s">
        <v>654</v>
      </c>
      <c r="C164" s="327" t="s">
        <v>844</v>
      </c>
      <c r="D164" s="203" t="s">
        <v>845</v>
      </c>
      <c r="E164" s="204">
        <v>24</v>
      </c>
      <c r="F164" s="213">
        <v>56</v>
      </c>
      <c r="G164" s="204" t="s">
        <v>646</v>
      </c>
      <c r="H164" s="206"/>
      <c r="I164" s="206"/>
      <c r="J164" s="204" t="s">
        <v>562</v>
      </c>
      <c r="K164" s="207"/>
      <c r="L164" s="207"/>
      <c r="M164" s="359"/>
      <c r="N164" s="282"/>
      <c r="O164" s="282"/>
      <c r="P164" s="283"/>
    </row>
    <row r="165" spans="1:16" ht="47.1" customHeight="1">
      <c r="A165" s="358">
        <v>156</v>
      </c>
      <c r="B165" s="329" t="s">
        <v>1040</v>
      </c>
      <c r="C165" s="205" t="s">
        <v>1041</v>
      </c>
      <c r="D165" s="353" t="s">
        <v>1042</v>
      </c>
      <c r="E165" s="355">
        <v>24</v>
      </c>
      <c r="F165" s="356">
        <v>28</v>
      </c>
      <c r="G165" s="355" t="s">
        <v>646</v>
      </c>
      <c r="H165" s="206"/>
      <c r="I165" s="206"/>
      <c r="J165" s="204" t="s">
        <v>562</v>
      </c>
      <c r="K165" s="207"/>
      <c r="L165" s="207"/>
      <c r="M165" s="359" t="s">
        <v>1062</v>
      </c>
      <c r="N165" s="282"/>
      <c r="O165" s="282"/>
      <c r="P165" s="283"/>
    </row>
    <row r="166" spans="1:16" ht="47.1" customHeight="1">
      <c r="A166" s="358">
        <v>157</v>
      </c>
      <c r="B166" s="206" t="s">
        <v>643</v>
      </c>
      <c r="C166" s="327" t="s">
        <v>798</v>
      </c>
      <c r="D166" s="203" t="s">
        <v>799</v>
      </c>
      <c r="E166" s="204">
        <v>24</v>
      </c>
      <c r="F166" s="213">
        <v>112</v>
      </c>
      <c r="G166" s="204" t="s">
        <v>646</v>
      </c>
      <c r="H166" s="206"/>
      <c r="I166" s="206"/>
      <c r="J166" s="204" t="s">
        <v>562</v>
      </c>
      <c r="K166" s="207"/>
      <c r="L166" s="207"/>
      <c r="M166" s="359"/>
      <c r="N166" s="282"/>
      <c r="O166" s="282"/>
      <c r="P166" s="283"/>
    </row>
    <row r="167" spans="1:16" ht="47.1" customHeight="1">
      <c r="A167" s="358">
        <v>158</v>
      </c>
      <c r="B167" s="206" t="s">
        <v>648</v>
      </c>
      <c r="C167" s="327" t="s">
        <v>828</v>
      </c>
      <c r="D167" s="203" t="s">
        <v>829</v>
      </c>
      <c r="E167" s="204">
        <v>24</v>
      </c>
      <c r="F167" s="213">
        <v>224</v>
      </c>
      <c r="G167" s="204" t="s">
        <v>646</v>
      </c>
      <c r="H167" s="206"/>
      <c r="I167" s="206"/>
      <c r="J167" s="204" t="s">
        <v>562</v>
      </c>
      <c r="K167" s="207"/>
      <c r="L167" s="207"/>
      <c r="M167" s="359"/>
      <c r="N167" s="282"/>
      <c r="O167" s="282"/>
      <c r="P167" s="283"/>
    </row>
    <row r="168" spans="1:16" ht="47.1" customHeight="1">
      <c r="A168" s="358">
        <v>159</v>
      </c>
      <c r="B168" s="206" t="s">
        <v>651</v>
      </c>
      <c r="C168" s="327" t="s">
        <v>856</v>
      </c>
      <c r="D168" s="203" t="s">
        <v>857</v>
      </c>
      <c r="E168" s="204">
        <v>24</v>
      </c>
      <c r="F168" s="213">
        <v>112</v>
      </c>
      <c r="G168" s="204" t="s">
        <v>646</v>
      </c>
      <c r="H168" s="206"/>
      <c r="I168" s="206"/>
      <c r="J168" s="204" t="s">
        <v>562</v>
      </c>
      <c r="K168" s="207"/>
      <c r="L168" s="207"/>
      <c r="M168" s="359"/>
      <c r="N168" s="282"/>
      <c r="O168" s="282"/>
      <c r="P168" s="283"/>
    </row>
    <row r="169" spans="1:16" ht="47.1" customHeight="1">
      <c r="A169" s="358">
        <v>160</v>
      </c>
      <c r="B169" s="329" t="s">
        <v>1043</v>
      </c>
      <c r="C169" s="205" t="s">
        <v>1044</v>
      </c>
      <c r="D169" s="353" t="s">
        <v>1045</v>
      </c>
      <c r="E169" s="355">
        <v>24</v>
      </c>
      <c r="F169" s="356">
        <v>28</v>
      </c>
      <c r="G169" s="355" t="s">
        <v>646</v>
      </c>
      <c r="H169" s="206"/>
      <c r="I169" s="206"/>
      <c r="J169" s="204" t="s">
        <v>562</v>
      </c>
      <c r="K169" s="207"/>
      <c r="L169" s="207"/>
      <c r="M169" s="359" t="s">
        <v>1062</v>
      </c>
      <c r="N169" s="282"/>
      <c r="O169" s="282"/>
      <c r="P169" s="283"/>
    </row>
    <row r="170" spans="1:16" ht="47.1" customHeight="1">
      <c r="A170" s="358">
        <v>161</v>
      </c>
      <c r="B170" s="206" t="s">
        <v>643</v>
      </c>
      <c r="C170" s="327" t="s">
        <v>784</v>
      </c>
      <c r="D170" s="203" t="s">
        <v>785</v>
      </c>
      <c r="E170" s="204">
        <v>24</v>
      </c>
      <c r="F170" s="213">
        <v>56</v>
      </c>
      <c r="G170" s="204" t="s">
        <v>646</v>
      </c>
      <c r="H170" s="206"/>
      <c r="I170" s="206"/>
      <c r="J170" s="204" t="s">
        <v>562</v>
      </c>
      <c r="K170" s="207"/>
      <c r="L170" s="207"/>
      <c r="M170" s="359"/>
      <c r="N170" s="282"/>
      <c r="O170" s="282"/>
      <c r="P170" s="283"/>
    </row>
    <row r="171" spans="1:16" ht="47.1" customHeight="1">
      <c r="A171" s="358">
        <v>162</v>
      </c>
      <c r="B171" s="206" t="s">
        <v>647</v>
      </c>
      <c r="C171" s="327" t="s">
        <v>850</v>
      </c>
      <c r="D171" s="203" t="s">
        <v>851</v>
      </c>
      <c r="E171" s="204">
        <v>24</v>
      </c>
      <c r="F171" s="213">
        <v>56</v>
      </c>
      <c r="G171" s="204" t="s">
        <v>646</v>
      </c>
      <c r="H171" s="206"/>
      <c r="I171" s="206"/>
      <c r="J171" s="204" t="s">
        <v>562</v>
      </c>
      <c r="K171" s="207"/>
      <c r="L171" s="207"/>
      <c r="M171" s="359"/>
      <c r="N171" s="282"/>
      <c r="O171" s="282"/>
      <c r="P171" s="283"/>
    </row>
    <row r="172" spans="1:16" ht="47.1" customHeight="1">
      <c r="A172" s="358">
        <v>163</v>
      </c>
      <c r="B172" s="206" t="s">
        <v>648</v>
      </c>
      <c r="C172" s="327" t="s">
        <v>832</v>
      </c>
      <c r="D172" s="203" t="s">
        <v>833</v>
      </c>
      <c r="E172" s="204">
        <v>24</v>
      </c>
      <c r="F172" s="213">
        <v>112</v>
      </c>
      <c r="G172" s="204" t="s">
        <v>646</v>
      </c>
      <c r="H172" s="206"/>
      <c r="I172" s="206"/>
      <c r="J172" s="204" t="s">
        <v>562</v>
      </c>
      <c r="K172" s="207"/>
      <c r="L172" s="207"/>
      <c r="M172" s="359"/>
      <c r="N172" s="282"/>
      <c r="O172" s="282"/>
      <c r="P172" s="283"/>
    </row>
    <row r="173" spans="1:16" ht="47.1" customHeight="1">
      <c r="A173" s="358">
        <v>164</v>
      </c>
      <c r="B173" s="329" t="s">
        <v>1046</v>
      </c>
      <c r="C173" s="205" t="s">
        <v>1047</v>
      </c>
      <c r="D173" s="353" t="s">
        <v>1048</v>
      </c>
      <c r="E173" s="355">
        <v>24</v>
      </c>
      <c r="F173" s="356">
        <v>28</v>
      </c>
      <c r="G173" s="355" t="s">
        <v>646</v>
      </c>
      <c r="H173" s="206"/>
      <c r="I173" s="206"/>
      <c r="J173" s="204" t="s">
        <v>562</v>
      </c>
      <c r="K173" s="207"/>
      <c r="L173" s="207"/>
      <c r="M173" s="359" t="s">
        <v>1062</v>
      </c>
      <c r="N173" s="282"/>
      <c r="O173" s="282"/>
      <c r="P173" s="283"/>
    </row>
    <row r="174" spans="1:16" ht="47.1" customHeight="1">
      <c r="A174" s="358">
        <v>165</v>
      </c>
      <c r="B174" s="206" t="s">
        <v>647</v>
      </c>
      <c r="C174" s="327" t="s">
        <v>786</v>
      </c>
      <c r="D174" s="203" t="s">
        <v>787</v>
      </c>
      <c r="E174" s="204">
        <v>24</v>
      </c>
      <c r="F174" s="213">
        <v>112</v>
      </c>
      <c r="G174" s="204" t="s">
        <v>646</v>
      </c>
      <c r="H174" s="206"/>
      <c r="I174" s="206"/>
      <c r="J174" s="204" t="s">
        <v>562</v>
      </c>
      <c r="K174" s="207"/>
      <c r="L174" s="207"/>
      <c r="M174" s="359"/>
      <c r="N174" s="282"/>
      <c r="O174" s="282"/>
      <c r="P174" s="283"/>
    </row>
    <row r="175" spans="1:16" ht="47.1" customHeight="1">
      <c r="A175" s="358">
        <v>166</v>
      </c>
      <c r="B175" s="206" t="s">
        <v>648</v>
      </c>
      <c r="C175" s="327" t="s">
        <v>707</v>
      </c>
      <c r="D175" s="203" t="s">
        <v>708</v>
      </c>
      <c r="E175" s="204">
        <v>24</v>
      </c>
      <c r="F175" s="213">
        <v>112</v>
      </c>
      <c r="G175" s="204" t="s">
        <v>646</v>
      </c>
      <c r="H175" s="206"/>
      <c r="I175" s="206"/>
      <c r="J175" s="204" t="s">
        <v>562</v>
      </c>
      <c r="K175" s="207"/>
      <c r="L175" s="207"/>
      <c r="M175" s="359"/>
      <c r="N175" s="282"/>
      <c r="O175" s="282"/>
      <c r="P175" s="283"/>
    </row>
    <row r="176" spans="1:16" ht="47.1" customHeight="1">
      <c r="A176" s="358">
        <v>167</v>
      </c>
      <c r="B176" s="206" t="s">
        <v>651</v>
      </c>
      <c r="C176" s="327" t="s">
        <v>699</v>
      </c>
      <c r="D176" s="203" t="s">
        <v>700</v>
      </c>
      <c r="E176" s="204">
        <v>24</v>
      </c>
      <c r="F176" s="213">
        <v>224</v>
      </c>
      <c r="G176" s="204" t="s">
        <v>646</v>
      </c>
      <c r="H176" s="206"/>
      <c r="I176" s="206"/>
      <c r="J176" s="204" t="s">
        <v>562</v>
      </c>
      <c r="K176" s="207"/>
      <c r="L176" s="207"/>
      <c r="M176" s="359"/>
      <c r="N176" s="282"/>
      <c r="O176" s="282"/>
      <c r="P176" s="283"/>
    </row>
    <row r="177" spans="1:16" ht="47.1" customHeight="1">
      <c r="A177" s="358">
        <v>168</v>
      </c>
      <c r="B177" s="206" t="s">
        <v>1049</v>
      </c>
      <c r="C177" s="327" t="s">
        <v>427</v>
      </c>
      <c r="D177" s="203" t="s">
        <v>670</v>
      </c>
      <c r="E177" s="204">
        <v>24</v>
      </c>
      <c r="F177" s="213">
        <v>28</v>
      </c>
      <c r="G177" s="204" t="s">
        <v>646</v>
      </c>
      <c r="H177" s="206"/>
      <c r="I177" s="206"/>
      <c r="J177" s="204" t="s">
        <v>562</v>
      </c>
      <c r="K177" s="207"/>
      <c r="L177" s="207"/>
      <c r="M177" s="359"/>
      <c r="N177" s="282"/>
      <c r="O177" s="282"/>
      <c r="P177" s="283"/>
    </row>
    <row r="178" spans="1:16" ht="47.1" customHeight="1">
      <c r="A178" s="358">
        <v>169</v>
      </c>
      <c r="B178" s="329" t="s">
        <v>1050</v>
      </c>
      <c r="C178" s="205" t="s">
        <v>1051</v>
      </c>
      <c r="D178" s="353" t="s">
        <v>781</v>
      </c>
      <c r="E178" s="355">
        <v>24</v>
      </c>
      <c r="F178" s="356">
        <v>28</v>
      </c>
      <c r="G178" s="355" t="s">
        <v>646</v>
      </c>
      <c r="H178" s="206"/>
      <c r="I178" s="206"/>
      <c r="J178" s="204" t="s">
        <v>562</v>
      </c>
      <c r="K178" s="207"/>
      <c r="L178" s="207"/>
      <c r="M178" s="359" t="s">
        <v>1062</v>
      </c>
      <c r="N178" s="282"/>
      <c r="O178" s="282"/>
      <c r="P178" s="283"/>
    </row>
    <row r="179" spans="1:16" ht="47.1" customHeight="1">
      <c r="A179" s="358">
        <v>170</v>
      </c>
      <c r="B179" s="206" t="s">
        <v>643</v>
      </c>
      <c r="C179" s="327" t="s">
        <v>533</v>
      </c>
      <c r="D179" s="203" t="s">
        <v>534</v>
      </c>
      <c r="E179" s="204">
        <v>24</v>
      </c>
      <c r="F179" s="213">
        <v>28</v>
      </c>
      <c r="G179" s="204" t="s">
        <v>646</v>
      </c>
      <c r="H179" s="206"/>
      <c r="I179" s="206"/>
      <c r="J179" s="204" t="s">
        <v>562</v>
      </c>
      <c r="K179" s="207"/>
      <c r="L179" s="207"/>
      <c r="M179" s="359"/>
      <c r="N179" s="282"/>
      <c r="O179" s="282"/>
      <c r="P179" s="283"/>
    </row>
    <row r="180" spans="1:16" ht="47.1" customHeight="1">
      <c r="A180" s="358">
        <v>171</v>
      </c>
      <c r="B180" s="206" t="s">
        <v>647</v>
      </c>
      <c r="C180" s="327" t="s">
        <v>812</v>
      </c>
      <c r="D180" s="203" t="s">
        <v>813</v>
      </c>
      <c r="E180" s="204">
        <v>24</v>
      </c>
      <c r="F180" s="213">
        <v>56</v>
      </c>
      <c r="G180" s="204" t="s">
        <v>646</v>
      </c>
      <c r="H180" s="206"/>
      <c r="I180" s="206"/>
      <c r="J180" s="204" t="s">
        <v>562</v>
      </c>
      <c r="K180" s="207"/>
      <c r="L180" s="207"/>
      <c r="M180" s="359"/>
      <c r="N180" s="282"/>
      <c r="O180" s="282"/>
      <c r="P180" s="283"/>
    </row>
    <row r="181" spans="1:16" ht="47.1" customHeight="1">
      <c r="A181" s="358">
        <v>172</v>
      </c>
      <c r="B181" s="206" t="s">
        <v>648</v>
      </c>
      <c r="C181" s="327" t="s">
        <v>705</v>
      </c>
      <c r="D181" s="203" t="s">
        <v>706</v>
      </c>
      <c r="E181" s="204">
        <v>24</v>
      </c>
      <c r="F181" s="213">
        <v>56</v>
      </c>
      <c r="G181" s="204" t="s">
        <v>646</v>
      </c>
      <c r="H181" s="206"/>
      <c r="I181" s="206"/>
      <c r="J181" s="204" t="s">
        <v>562</v>
      </c>
      <c r="K181" s="207"/>
      <c r="L181" s="207"/>
      <c r="M181" s="359"/>
      <c r="N181" s="282"/>
      <c r="O181" s="282"/>
      <c r="P181" s="283"/>
    </row>
    <row r="182" spans="1:16" ht="47.1" customHeight="1">
      <c r="A182" s="358">
        <v>173</v>
      </c>
      <c r="B182" s="329" t="s">
        <v>1052</v>
      </c>
      <c r="C182" s="205" t="s">
        <v>1053</v>
      </c>
      <c r="D182" s="353" t="s">
        <v>1054</v>
      </c>
      <c r="E182" s="355">
        <v>24</v>
      </c>
      <c r="F182" s="356">
        <v>10</v>
      </c>
      <c r="G182" s="355" t="s">
        <v>646</v>
      </c>
      <c r="H182" s="206"/>
      <c r="I182" s="206"/>
      <c r="J182" s="204" t="s">
        <v>562</v>
      </c>
      <c r="K182" s="207"/>
      <c r="L182" s="207"/>
      <c r="M182" s="359" t="s">
        <v>1062</v>
      </c>
      <c r="N182" s="282"/>
      <c r="O182" s="282"/>
      <c r="P182" s="283"/>
    </row>
    <row r="183" spans="1:16" ht="47.1" customHeight="1">
      <c r="A183" s="358">
        <v>174</v>
      </c>
      <c r="B183" s="206" t="s">
        <v>643</v>
      </c>
      <c r="C183" s="327" t="s">
        <v>796</v>
      </c>
      <c r="D183" s="203" t="s">
        <v>797</v>
      </c>
      <c r="E183" s="204">
        <v>24</v>
      </c>
      <c r="F183" s="213">
        <v>10</v>
      </c>
      <c r="G183" s="204" t="s">
        <v>646</v>
      </c>
      <c r="H183" s="206"/>
      <c r="I183" s="206"/>
      <c r="J183" s="204" t="s">
        <v>562</v>
      </c>
      <c r="K183" s="207"/>
      <c r="L183" s="207"/>
      <c r="M183" s="359"/>
      <c r="N183" s="282"/>
      <c r="O183" s="282"/>
      <c r="P183" s="283"/>
    </row>
    <row r="184" spans="1:16" ht="47.1" customHeight="1">
      <c r="A184" s="358">
        <v>175</v>
      </c>
      <c r="B184" s="206" t="s">
        <v>647</v>
      </c>
      <c r="C184" s="327" t="s">
        <v>858</v>
      </c>
      <c r="D184" s="203" t="s">
        <v>859</v>
      </c>
      <c r="E184" s="204">
        <v>24</v>
      </c>
      <c r="F184" s="213">
        <v>10</v>
      </c>
      <c r="G184" s="204" t="s">
        <v>646</v>
      </c>
      <c r="H184" s="206"/>
      <c r="I184" s="206"/>
      <c r="J184" s="204" t="s">
        <v>562</v>
      </c>
      <c r="K184" s="207"/>
      <c r="L184" s="207"/>
      <c r="M184" s="359"/>
      <c r="N184" s="282"/>
      <c r="O184" s="282"/>
      <c r="P184" s="283"/>
    </row>
    <row r="185" spans="1:16" ht="47.1" customHeight="1">
      <c r="A185" s="358">
        <v>176</v>
      </c>
      <c r="B185" s="206" t="s">
        <v>648</v>
      </c>
      <c r="C185" s="327" t="s">
        <v>826</v>
      </c>
      <c r="D185" s="203" t="s">
        <v>827</v>
      </c>
      <c r="E185" s="204">
        <v>24</v>
      </c>
      <c r="F185" s="213">
        <v>20</v>
      </c>
      <c r="G185" s="204" t="s">
        <v>646</v>
      </c>
      <c r="H185" s="206"/>
      <c r="I185" s="206"/>
      <c r="J185" s="204" t="s">
        <v>562</v>
      </c>
      <c r="K185" s="207"/>
      <c r="L185" s="207"/>
      <c r="M185" s="359"/>
      <c r="N185" s="282"/>
      <c r="O185" s="282"/>
      <c r="P185" s="283"/>
    </row>
    <row r="186" spans="1:16" ht="47.1" customHeight="1">
      <c r="A186" s="358">
        <v>177</v>
      </c>
      <c r="B186" s="329" t="s">
        <v>1055</v>
      </c>
      <c r="C186" s="205" t="s">
        <v>1032</v>
      </c>
      <c r="D186" s="353" t="s">
        <v>1033</v>
      </c>
      <c r="E186" s="355">
        <v>24</v>
      </c>
      <c r="F186" s="356">
        <v>2</v>
      </c>
      <c r="G186" s="355" t="s">
        <v>646</v>
      </c>
      <c r="H186" s="206"/>
      <c r="I186" s="206"/>
      <c r="J186" s="204" t="s">
        <v>562</v>
      </c>
      <c r="K186" s="207"/>
      <c r="L186" s="207"/>
      <c r="M186" s="359" t="s">
        <v>1062</v>
      </c>
      <c r="N186" s="282"/>
      <c r="O186" s="282"/>
      <c r="P186" s="283"/>
    </row>
    <row r="187" spans="1:16" ht="47.1" customHeight="1">
      <c r="A187" s="358">
        <v>178</v>
      </c>
      <c r="B187" s="206" t="s">
        <v>643</v>
      </c>
      <c r="C187" s="327" t="s">
        <v>681</v>
      </c>
      <c r="D187" s="203" t="s">
        <v>682</v>
      </c>
      <c r="E187" s="204">
        <v>24</v>
      </c>
      <c r="F187" s="213">
        <v>2</v>
      </c>
      <c r="G187" s="204" t="s">
        <v>646</v>
      </c>
      <c r="H187" s="206"/>
      <c r="I187" s="206"/>
      <c r="J187" s="204" t="s">
        <v>562</v>
      </c>
      <c r="K187" s="207"/>
      <c r="L187" s="207"/>
      <c r="M187" s="359"/>
      <c r="N187" s="282"/>
      <c r="O187" s="282"/>
      <c r="P187" s="283"/>
    </row>
    <row r="188" spans="1:16" ht="47.1" customHeight="1">
      <c r="A188" s="358">
        <v>179</v>
      </c>
      <c r="B188" s="206" t="s">
        <v>647</v>
      </c>
      <c r="C188" s="327" t="s">
        <v>802</v>
      </c>
      <c r="D188" s="203" t="s">
        <v>803</v>
      </c>
      <c r="E188" s="204">
        <v>24</v>
      </c>
      <c r="F188" s="213">
        <v>16</v>
      </c>
      <c r="G188" s="204" t="s">
        <v>646</v>
      </c>
      <c r="H188" s="206"/>
      <c r="I188" s="206"/>
      <c r="J188" s="204" t="s">
        <v>562</v>
      </c>
      <c r="K188" s="207"/>
      <c r="L188" s="207"/>
      <c r="M188" s="359"/>
      <c r="N188" s="282"/>
      <c r="O188" s="282"/>
      <c r="P188" s="283"/>
    </row>
    <row r="189" spans="1:16" ht="47.1" customHeight="1">
      <c r="A189" s="358">
        <v>180</v>
      </c>
      <c r="B189" s="206" t="s">
        <v>648</v>
      </c>
      <c r="C189" s="327" t="s">
        <v>858</v>
      </c>
      <c r="D189" s="203" t="s">
        <v>859</v>
      </c>
      <c r="E189" s="204">
        <v>24</v>
      </c>
      <c r="F189" s="213">
        <v>16</v>
      </c>
      <c r="G189" s="204" t="s">
        <v>646</v>
      </c>
      <c r="H189" s="206"/>
      <c r="I189" s="206"/>
      <c r="J189" s="204" t="s">
        <v>562</v>
      </c>
      <c r="K189" s="207"/>
      <c r="L189" s="207"/>
      <c r="M189" s="359"/>
      <c r="N189" s="282"/>
      <c r="O189" s="282"/>
      <c r="P189" s="283"/>
    </row>
    <row r="190" spans="1:16" ht="47.1" customHeight="1">
      <c r="A190" s="358">
        <v>181</v>
      </c>
      <c r="B190" s="206" t="s">
        <v>651</v>
      </c>
      <c r="C190" s="327" t="s">
        <v>826</v>
      </c>
      <c r="D190" s="203" t="s">
        <v>827</v>
      </c>
      <c r="E190" s="204">
        <v>24</v>
      </c>
      <c r="F190" s="213">
        <v>32</v>
      </c>
      <c r="G190" s="204" t="s">
        <v>646</v>
      </c>
      <c r="H190" s="206"/>
      <c r="I190" s="206"/>
      <c r="J190" s="204" t="s">
        <v>562</v>
      </c>
      <c r="K190" s="207"/>
      <c r="L190" s="207"/>
      <c r="M190" s="359"/>
      <c r="N190" s="282"/>
      <c r="O190" s="282"/>
      <c r="P190" s="283"/>
    </row>
    <row r="191" spans="1:16" ht="47.1" customHeight="1">
      <c r="A191" s="358">
        <v>182</v>
      </c>
      <c r="B191" s="329" t="s">
        <v>1056</v>
      </c>
      <c r="C191" s="205" t="s">
        <v>1057</v>
      </c>
      <c r="D191" s="353" t="s">
        <v>1058</v>
      </c>
      <c r="E191" s="355">
        <v>24</v>
      </c>
      <c r="F191" s="356">
        <v>10</v>
      </c>
      <c r="G191" s="355" t="s">
        <v>646</v>
      </c>
      <c r="H191" s="206"/>
      <c r="I191" s="206"/>
      <c r="J191" s="204" t="s">
        <v>562</v>
      </c>
      <c r="K191" s="207"/>
      <c r="L191" s="207"/>
      <c r="M191" s="359" t="s">
        <v>1062</v>
      </c>
      <c r="N191" s="282"/>
      <c r="O191" s="282"/>
      <c r="P191" s="283"/>
    </row>
    <row r="192" spans="1:16" ht="47.1" customHeight="1">
      <c r="A192" s="358">
        <v>183</v>
      </c>
      <c r="B192" s="206" t="s">
        <v>643</v>
      </c>
      <c r="C192" s="327" t="s">
        <v>794</v>
      </c>
      <c r="D192" s="203" t="s">
        <v>795</v>
      </c>
      <c r="E192" s="204">
        <v>24</v>
      </c>
      <c r="F192" s="213">
        <v>40</v>
      </c>
      <c r="G192" s="204" t="s">
        <v>646</v>
      </c>
      <c r="H192" s="206"/>
      <c r="I192" s="206"/>
      <c r="J192" s="204" t="s">
        <v>562</v>
      </c>
      <c r="K192" s="207"/>
      <c r="L192" s="207"/>
      <c r="M192" s="359"/>
      <c r="N192" s="282"/>
      <c r="O192" s="282"/>
      <c r="P192" s="283"/>
    </row>
    <row r="193" spans="1:16" ht="47.1" customHeight="1">
      <c r="A193" s="358">
        <v>184</v>
      </c>
      <c r="B193" s="206" t="s">
        <v>647</v>
      </c>
      <c r="C193" s="327" t="s">
        <v>836</v>
      </c>
      <c r="D193" s="203" t="s">
        <v>837</v>
      </c>
      <c r="E193" s="204">
        <v>24</v>
      </c>
      <c r="F193" s="213">
        <v>80</v>
      </c>
      <c r="G193" s="204" t="s">
        <v>646</v>
      </c>
      <c r="H193" s="206"/>
      <c r="I193" s="206"/>
      <c r="J193" s="204" t="s">
        <v>562</v>
      </c>
      <c r="K193" s="207"/>
      <c r="L193" s="207"/>
      <c r="M193" s="359"/>
      <c r="N193" s="282"/>
      <c r="O193" s="282"/>
      <c r="P193" s="283"/>
    </row>
    <row r="194" spans="1:16" ht="47.1" customHeight="1">
      <c r="A194" s="358">
        <v>185</v>
      </c>
      <c r="B194" s="206" t="s">
        <v>648</v>
      </c>
      <c r="C194" s="327" t="s">
        <v>705</v>
      </c>
      <c r="D194" s="203" t="s">
        <v>706</v>
      </c>
      <c r="E194" s="204">
        <v>24</v>
      </c>
      <c r="F194" s="213">
        <v>40</v>
      </c>
      <c r="G194" s="204" t="s">
        <v>646</v>
      </c>
      <c r="H194" s="206"/>
      <c r="I194" s="206"/>
      <c r="J194" s="204" t="s">
        <v>562</v>
      </c>
      <c r="K194" s="207"/>
      <c r="L194" s="207"/>
      <c r="M194" s="359"/>
      <c r="N194" s="282"/>
      <c r="O194" s="282"/>
      <c r="P194" s="283"/>
    </row>
    <row r="195" spans="1:16" ht="47.1" customHeight="1">
      <c r="A195" s="358">
        <v>186</v>
      </c>
      <c r="B195" s="329" t="s">
        <v>1059</v>
      </c>
      <c r="C195" s="205" t="s">
        <v>1060</v>
      </c>
      <c r="D195" s="353" t="s">
        <v>1061</v>
      </c>
      <c r="E195" s="355">
        <v>24</v>
      </c>
      <c r="F195" s="356">
        <v>10</v>
      </c>
      <c r="G195" s="355" t="s">
        <v>646</v>
      </c>
      <c r="H195" s="206"/>
      <c r="I195" s="206"/>
      <c r="J195" s="204" t="s">
        <v>562</v>
      </c>
      <c r="K195" s="207"/>
      <c r="L195" s="207"/>
      <c r="M195" s="359" t="s">
        <v>1062</v>
      </c>
      <c r="N195" s="282"/>
      <c r="O195" s="282"/>
      <c r="P195" s="283"/>
    </row>
    <row r="196" spans="1:16" ht="47.1" customHeight="1">
      <c r="A196" s="358">
        <v>187</v>
      </c>
      <c r="B196" s="206" t="s">
        <v>643</v>
      </c>
      <c r="C196" s="327" t="s">
        <v>792</v>
      </c>
      <c r="D196" s="203" t="s">
        <v>793</v>
      </c>
      <c r="E196" s="204">
        <v>24</v>
      </c>
      <c r="F196" s="213">
        <v>10</v>
      </c>
      <c r="G196" s="204" t="s">
        <v>646</v>
      </c>
      <c r="H196" s="206"/>
      <c r="I196" s="206"/>
      <c r="J196" s="204" t="s">
        <v>562</v>
      </c>
      <c r="K196" s="207"/>
      <c r="L196" s="207"/>
      <c r="M196" s="359"/>
      <c r="N196" s="282"/>
      <c r="O196" s="282"/>
      <c r="P196" s="283"/>
    </row>
    <row r="197" spans="1:16" ht="47.1" customHeight="1">
      <c r="A197" s="358">
        <v>188</v>
      </c>
      <c r="B197" s="206" t="s">
        <v>647</v>
      </c>
      <c r="C197" s="327" t="s">
        <v>836</v>
      </c>
      <c r="D197" s="203" t="s">
        <v>837</v>
      </c>
      <c r="E197" s="204">
        <v>24</v>
      </c>
      <c r="F197" s="213">
        <v>20</v>
      </c>
      <c r="G197" s="204" t="s">
        <v>646</v>
      </c>
      <c r="H197" s="206"/>
      <c r="I197" s="206"/>
      <c r="J197" s="204" t="s">
        <v>562</v>
      </c>
      <c r="K197" s="207"/>
      <c r="L197" s="207"/>
      <c r="M197" s="359"/>
      <c r="N197" s="282"/>
      <c r="O197" s="282"/>
      <c r="P197" s="283"/>
    </row>
    <row r="198" spans="1:16" ht="47.1" customHeight="1">
      <c r="A198" s="358">
        <v>189</v>
      </c>
      <c r="B198" s="206" t="s">
        <v>648</v>
      </c>
      <c r="C198" s="327" t="s">
        <v>705</v>
      </c>
      <c r="D198" s="203" t="s">
        <v>706</v>
      </c>
      <c r="E198" s="204">
        <v>24</v>
      </c>
      <c r="F198" s="213">
        <v>10</v>
      </c>
      <c r="G198" s="204" t="s">
        <v>646</v>
      </c>
      <c r="H198" s="206"/>
      <c r="I198" s="206"/>
      <c r="J198" s="204" t="s">
        <v>562</v>
      </c>
      <c r="K198" s="207"/>
      <c r="L198" s="207"/>
      <c r="M198" s="359"/>
      <c r="N198" s="282"/>
      <c r="O198" s="282"/>
      <c r="P198" s="283"/>
    </row>
  </sheetData>
  <autoFilter ref="A8:P198" xr:uid="{7421558A-2C60-437C-8958-AB991B8A4D20}">
    <filterColumn colId="9" showButton="0"/>
    <filterColumn colId="10" showButton="0"/>
    <filterColumn colId="12" showButton="0"/>
    <filterColumn colId="13" showButton="0"/>
    <filterColumn colId="14" showButton="0"/>
  </autoFilter>
  <mergeCells count="37">
    <mergeCell ref="B1:O1"/>
    <mergeCell ref="P1:P4"/>
    <mergeCell ref="A2:A3"/>
    <mergeCell ref="B2:B3"/>
    <mergeCell ref="C2:C3"/>
    <mergeCell ref="D2:D3"/>
    <mergeCell ref="E2:E3"/>
    <mergeCell ref="F2:H3"/>
    <mergeCell ref="J2:K2"/>
    <mergeCell ref="L2:M2"/>
    <mergeCell ref="J3:K3"/>
    <mergeCell ref="L3:M3"/>
    <mergeCell ref="A4:A7"/>
    <mergeCell ref="C4:C5"/>
    <mergeCell ref="D4:D5"/>
    <mergeCell ref="E4:E7"/>
    <mergeCell ref="F4:H7"/>
    <mergeCell ref="J4:K5"/>
    <mergeCell ref="L4:M5"/>
    <mergeCell ref="B5:B6"/>
    <mergeCell ref="F8:F9"/>
    <mergeCell ref="C6:C7"/>
    <mergeCell ref="D6:D7"/>
    <mergeCell ref="J6:K6"/>
    <mergeCell ref="L6:M6"/>
    <mergeCell ref="J7:K7"/>
    <mergeCell ref="L7:M7"/>
    <mergeCell ref="G8:G9"/>
    <mergeCell ref="H8:H9"/>
    <mergeCell ref="I8:I9"/>
    <mergeCell ref="J8:L8"/>
    <mergeCell ref="M8:P9"/>
    <mergeCell ref="A8:A9"/>
    <mergeCell ref="B8:B9"/>
    <mergeCell ref="C8:C9"/>
    <mergeCell ref="D8:D9"/>
    <mergeCell ref="E8:E9"/>
  </mergeCells>
  <phoneticPr fontId="57" type="noConversion"/>
  <pageMargins left="0.70866141732283472" right="0.70866141732283472" top="0.74803149606299213" bottom="0.74803149606299213" header="0.31496062992125984" footer="0.31496062992125984"/>
  <pageSetup paperSize="9" scale="55" fitToWidth="0" orientation="landscape" r:id="rId1"/>
  <headerFooter>
    <oddHeader>&amp;L&amp;14 &amp;11
                     &amp;"GE Inspira,Regular"&amp;P / &amp;N</oddHeader>
    <oddFooter xml:space="preserve">&amp;L&amp;"GE Inspira,Regular"&amp;12                                                     
Hazırlayan:    Halit KAPLAN
&amp;9Prapared by:
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A8969-E6B8-4295-A285-3B42B551D4E5}">
  <sheetPr codeName="Sheet8">
    <tabColor rgb="FFFFC000"/>
  </sheetPr>
  <dimension ref="A1:Q495"/>
  <sheetViews>
    <sheetView workbookViewId="0"/>
  </sheetViews>
  <sheetFormatPr defaultRowHeight="15"/>
  <cols>
    <col min="1" max="1" width="9.140625" style="15"/>
    <col min="2" max="2" width="8.7109375" bestFit="1" customWidth="1"/>
    <col min="3" max="3" width="12.85546875" customWidth="1"/>
    <col min="4" max="4" width="19" customWidth="1"/>
    <col min="5" max="5" width="55.140625" bestFit="1" customWidth="1"/>
    <col min="8" max="8" width="10.42578125" style="15" customWidth="1"/>
    <col min="9" max="10" width="13.7109375" customWidth="1"/>
    <col min="11" max="11" width="9.140625" style="244"/>
    <col min="12" max="12" width="11.85546875" style="248" customWidth="1"/>
    <col min="13" max="13" width="11.28515625" style="15" customWidth="1"/>
    <col min="14" max="14" width="10.42578125" bestFit="1" customWidth="1"/>
    <col min="15" max="15" width="10" customWidth="1"/>
    <col min="16" max="16" width="8.5703125" customWidth="1"/>
    <col min="17" max="17" width="16.28515625" customWidth="1"/>
    <col min="18" max="18" width="3.28515625" customWidth="1"/>
    <col min="21" max="21" width="19.7109375" customWidth="1"/>
    <col min="22" max="22" width="28" customWidth="1"/>
  </cols>
  <sheetData>
    <row r="1" spans="1:17" ht="40.5" customHeight="1">
      <c r="B1" s="6"/>
      <c r="C1" s="511" t="s">
        <v>26</v>
      </c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2"/>
      <c r="Q1" s="513"/>
    </row>
    <row r="2" spans="1:17" ht="15" customHeight="1">
      <c r="B2" s="516" t="s">
        <v>16</v>
      </c>
      <c r="C2" s="518">
        <f ca="1">TODAY()</f>
        <v>46128</v>
      </c>
      <c r="D2" s="502" t="s">
        <v>11</v>
      </c>
      <c r="E2" s="504" t="s">
        <v>560</v>
      </c>
      <c r="F2" s="502" t="s">
        <v>14</v>
      </c>
      <c r="G2" s="520" t="s">
        <v>561</v>
      </c>
      <c r="H2" s="521"/>
      <c r="I2" s="522"/>
      <c r="J2" s="1"/>
      <c r="K2" s="526" t="s">
        <v>417</v>
      </c>
      <c r="L2" s="527"/>
      <c r="M2" s="526" t="s">
        <v>562</v>
      </c>
      <c r="N2" s="527"/>
      <c r="O2" s="1"/>
      <c r="P2" s="1"/>
      <c r="Q2" s="514"/>
    </row>
    <row r="3" spans="1:17" ht="15" customHeight="1">
      <c r="B3" s="517"/>
      <c r="C3" s="519"/>
      <c r="D3" s="503"/>
      <c r="E3" s="505"/>
      <c r="F3" s="503"/>
      <c r="G3" s="523"/>
      <c r="H3" s="524"/>
      <c r="I3" s="525"/>
      <c r="J3" s="1"/>
      <c r="K3" s="526" t="s">
        <v>416</v>
      </c>
      <c r="L3" s="527"/>
      <c r="M3" s="526" t="s">
        <v>563</v>
      </c>
      <c r="N3" s="527"/>
      <c r="O3" s="1"/>
      <c r="P3" s="1"/>
      <c r="Q3" s="514"/>
    </row>
    <row r="4" spans="1:17" ht="15" customHeight="1">
      <c r="B4" s="3"/>
      <c r="C4" s="1"/>
      <c r="D4" s="502" t="s">
        <v>12</v>
      </c>
      <c r="E4" s="504">
        <v>120</v>
      </c>
      <c r="F4" s="528"/>
      <c r="G4" s="520"/>
      <c r="H4" s="521"/>
      <c r="I4" s="522"/>
      <c r="J4" s="1"/>
      <c r="K4" s="485" t="s">
        <v>20</v>
      </c>
      <c r="L4" s="486"/>
      <c r="M4" s="489" t="s">
        <v>564</v>
      </c>
      <c r="N4" s="490"/>
      <c r="O4" s="1"/>
      <c r="P4" s="10"/>
      <c r="Q4" s="515"/>
    </row>
    <row r="5" spans="1:17">
      <c r="B5" s="499"/>
      <c r="C5" s="501"/>
      <c r="D5" s="503"/>
      <c r="E5" s="505"/>
      <c r="F5" s="529"/>
      <c r="G5" s="531"/>
      <c r="H5" s="532"/>
      <c r="I5" s="533"/>
      <c r="J5" s="1"/>
      <c r="K5" s="487"/>
      <c r="L5" s="488"/>
      <c r="M5" s="491"/>
      <c r="N5" s="492"/>
      <c r="O5" s="1"/>
      <c r="P5" s="175"/>
      <c r="Q5" s="4"/>
    </row>
    <row r="6" spans="1:17" ht="15" customHeight="1">
      <c r="B6" s="500"/>
      <c r="C6" s="501"/>
      <c r="D6" s="502" t="s">
        <v>13</v>
      </c>
      <c r="E6" s="504">
        <v>220</v>
      </c>
      <c r="F6" s="529"/>
      <c r="G6" s="531"/>
      <c r="H6" s="532"/>
      <c r="I6" s="533"/>
      <c r="J6" s="1"/>
      <c r="K6" s="506" t="s">
        <v>21</v>
      </c>
      <c r="L6" s="507"/>
      <c r="M6" s="508"/>
      <c r="N6" s="507"/>
      <c r="O6" s="7" t="s">
        <v>23</v>
      </c>
      <c r="P6" s="8"/>
      <c r="Q6" s="4"/>
    </row>
    <row r="7" spans="1:17">
      <c r="B7" s="5"/>
      <c r="C7" s="2"/>
      <c r="D7" s="503"/>
      <c r="E7" s="505"/>
      <c r="F7" s="530"/>
      <c r="G7" s="523"/>
      <c r="H7" s="524"/>
      <c r="I7" s="525"/>
      <c r="J7" s="2"/>
      <c r="K7" s="506" t="s">
        <v>22</v>
      </c>
      <c r="L7" s="507"/>
      <c r="M7" s="509"/>
      <c r="N7" s="510"/>
      <c r="O7" s="7" t="s">
        <v>24</v>
      </c>
      <c r="P7" s="8"/>
      <c r="Q7" s="4"/>
    </row>
    <row r="8" spans="1:17" ht="47.25" customHeight="1">
      <c r="B8" s="23"/>
      <c r="C8" s="19" t="s">
        <v>68</v>
      </c>
      <c r="D8" s="21" t="s">
        <v>17</v>
      </c>
      <c r="E8" s="19" t="s">
        <v>1</v>
      </c>
      <c r="F8" s="19" t="s">
        <v>6</v>
      </c>
      <c r="G8" s="19" t="s">
        <v>3</v>
      </c>
      <c r="H8" s="167" t="s">
        <v>5</v>
      </c>
      <c r="I8" s="21" t="s">
        <v>2</v>
      </c>
      <c r="J8" s="21" t="s">
        <v>4</v>
      </c>
      <c r="K8" s="493" t="s">
        <v>7</v>
      </c>
      <c r="L8" s="494"/>
      <c r="M8" s="495"/>
      <c r="N8" s="496" t="s">
        <v>10</v>
      </c>
      <c r="O8" s="497"/>
      <c r="P8" s="497"/>
      <c r="Q8" s="498"/>
    </row>
    <row r="9" spans="1:17" ht="33" customHeight="1">
      <c r="A9" s="16" t="s">
        <v>34</v>
      </c>
      <c r="B9" s="24"/>
      <c r="C9" s="20"/>
      <c r="D9" s="22"/>
      <c r="E9" s="20"/>
      <c r="F9" s="20"/>
      <c r="G9" s="20"/>
      <c r="H9" s="168"/>
      <c r="I9" s="22"/>
      <c r="J9" s="22"/>
      <c r="K9" s="267" t="s">
        <v>8</v>
      </c>
      <c r="L9" s="268" t="s">
        <v>532</v>
      </c>
      <c r="M9" s="269" t="s">
        <v>9</v>
      </c>
      <c r="N9" s="34"/>
      <c r="O9" s="35"/>
      <c r="P9" s="35"/>
      <c r="Q9" s="36"/>
    </row>
    <row r="10" spans="1:17" ht="33.75" customHeight="1">
      <c r="A10" s="16">
        <v>1</v>
      </c>
      <c r="B10" s="310" t="b">
        <v>0</v>
      </c>
      <c r="C10" s="257"/>
      <c r="D10" s="163" t="s">
        <v>580</v>
      </c>
      <c r="E10" s="258" t="s">
        <v>142</v>
      </c>
      <c r="F10" s="259">
        <v>1</v>
      </c>
      <c r="G10" s="260">
        <v>1</v>
      </c>
      <c r="H10" s="259" t="s">
        <v>70</v>
      </c>
      <c r="I10" s="259"/>
      <c r="J10" s="259"/>
      <c r="K10" s="261"/>
      <c r="L10" s="262"/>
      <c r="M10" s="263"/>
      <c r="N10" s="264"/>
      <c r="O10" s="265"/>
      <c r="P10" s="265"/>
      <c r="Q10" s="266"/>
    </row>
    <row r="11" spans="1:17" ht="33.75" customHeight="1">
      <c r="A11" s="16">
        <v>2</v>
      </c>
      <c r="B11" s="310" t="b">
        <v>0</v>
      </c>
      <c r="C11" s="257"/>
      <c r="D11" s="163"/>
      <c r="E11" s="258" t="s">
        <v>143</v>
      </c>
      <c r="F11" s="259"/>
      <c r="G11" s="260"/>
      <c r="H11" s="259" t="s">
        <v>70</v>
      </c>
      <c r="I11" s="259"/>
      <c r="J11" s="259"/>
      <c r="K11" s="261"/>
      <c r="L11" s="262"/>
      <c r="M11" s="263"/>
      <c r="N11" s="264"/>
      <c r="O11" s="265"/>
      <c r="P11" s="265"/>
      <c r="Q11" s="266"/>
    </row>
    <row r="12" spans="1:17" ht="33.75" customHeight="1">
      <c r="A12" s="16">
        <v>3</v>
      </c>
      <c r="B12" s="310" t="b">
        <v>0</v>
      </c>
      <c r="C12" s="12" t="s">
        <v>28</v>
      </c>
      <c r="D12" s="18" t="s">
        <v>471</v>
      </c>
      <c r="E12" s="154" t="s">
        <v>144</v>
      </c>
      <c r="F12" s="40">
        <v>1</v>
      </c>
      <c r="G12" s="38">
        <v>1</v>
      </c>
      <c r="H12" s="40" t="s">
        <v>70</v>
      </c>
      <c r="I12" s="12"/>
      <c r="J12" s="12"/>
      <c r="K12" s="242"/>
      <c r="L12" s="245"/>
      <c r="M12" s="25"/>
      <c r="N12" s="31"/>
      <c r="O12" s="32"/>
      <c r="P12" s="32"/>
      <c r="Q12" s="33"/>
    </row>
    <row r="13" spans="1:17" ht="33.75" customHeight="1">
      <c r="A13" s="16">
        <v>4</v>
      </c>
      <c r="B13" s="310" t="b">
        <v>0</v>
      </c>
      <c r="C13" s="12" t="s">
        <v>29</v>
      </c>
      <c r="D13" s="18" t="s">
        <v>472</v>
      </c>
      <c r="E13" s="154" t="s">
        <v>145</v>
      </c>
      <c r="F13" s="40"/>
      <c r="G13" s="38">
        <v>1</v>
      </c>
      <c r="H13" s="40" t="s">
        <v>70</v>
      </c>
      <c r="I13" s="12"/>
      <c r="J13" s="12"/>
      <c r="K13" s="242"/>
      <c r="L13" s="245"/>
      <c r="M13" s="25"/>
      <c r="N13" s="31"/>
      <c r="O13" s="32"/>
      <c r="P13" s="32"/>
      <c r="Q13" s="33"/>
    </row>
    <row r="14" spans="1:17" ht="33.75" customHeight="1">
      <c r="A14" s="16">
        <v>5</v>
      </c>
      <c r="B14" s="310" t="b">
        <v>0</v>
      </c>
      <c r="C14" s="12" t="s">
        <v>30</v>
      </c>
      <c r="D14" s="18" t="s">
        <v>473</v>
      </c>
      <c r="E14" s="154" t="s">
        <v>146</v>
      </c>
      <c r="F14" s="40"/>
      <c r="G14" s="38">
        <v>1</v>
      </c>
      <c r="H14" s="40" t="s">
        <v>70</v>
      </c>
      <c r="I14" s="12"/>
      <c r="J14" s="12"/>
      <c r="K14" s="242"/>
      <c r="L14" s="245"/>
      <c r="M14" s="25"/>
      <c r="N14" s="31"/>
      <c r="O14" s="32"/>
      <c r="P14" s="32"/>
      <c r="Q14" s="33"/>
    </row>
    <row r="15" spans="1:17" ht="33.75" customHeight="1">
      <c r="A15" s="16">
        <v>6</v>
      </c>
      <c r="B15" s="310" t="b">
        <v>0</v>
      </c>
      <c r="C15" s="12"/>
      <c r="D15" s="166"/>
      <c r="E15" s="154" t="s">
        <v>347</v>
      </c>
      <c r="F15" s="40"/>
      <c r="G15" s="38"/>
      <c r="H15" s="40" t="s">
        <v>70</v>
      </c>
      <c r="I15" s="12"/>
      <c r="J15" s="12"/>
      <c r="K15" s="242"/>
      <c r="L15" s="245"/>
      <c r="M15" s="25"/>
      <c r="N15" s="31"/>
      <c r="O15" s="32"/>
      <c r="P15" s="32"/>
      <c r="Q15" s="33"/>
    </row>
    <row r="16" spans="1:17" ht="33.75" customHeight="1">
      <c r="A16" s="16">
        <v>7</v>
      </c>
      <c r="B16" s="310" t="b">
        <v>0</v>
      </c>
      <c r="C16" s="55"/>
      <c r="D16" s="153" t="s">
        <v>475</v>
      </c>
      <c r="E16" s="154" t="s">
        <v>262</v>
      </c>
      <c r="F16" s="40"/>
      <c r="G16" s="38">
        <v>9</v>
      </c>
      <c r="H16" s="40" t="s">
        <v>72</v>
      </c>
      <c r="I16" s="55"/>
      <c r="J16" s="55"/>
      <c r="K16" s="243"/>
      <c r="L16" s="246"/>
      <c r="M16" s="180"/>
      <c r="N16" s="160"/>
      <c r="O16" s="161"/>
      <c r="P16" s="161"/>
      <c r="Q16" s="162"/>
    </row>
    <row r="17" spans="1:17" ht="33.75" customHeight="1">
      <c r="A17" s="16">
        <v>8</v>
      </c>
      <c r="B17" s="310" t="b">
        <v>0</v>
      </c>
      <c r="C17" s="12" t="s">
        <v>32</v>
      </c>
      <c r="D17" s="156" t="s">
        <v>581</v>
      </c>
      <c r="E17" s="155" t="s">
        <v>372</v>
      </c>
      <c r="F17" s="26">
        <v>2</v>
      </c>
      <c r="G17" s="38">
        <v>4</v>
      </c>
      <c r="H17" s="26" t="s">
        <v>70</v>
      </c>
      <c r="I17" s="12"/>
      <c r="J17" s="12"/>
      <c r="K17" s="242"/>
      <c r="L17" s="245"/>
      <c r="M17" s="25"/>
      <c r="N17" s="28"/>
      <c r="O17" s="29"/>
      <c r="P17" s="29"/>
      <c r="Q17" s="30"/>
    </row>
    <row r="18" spans="1:17" ht="33.75" customHeight="1">
      <c r="A18" s="16">
        <v>9</v>
      </c>
      <c r="B18" s="310" t="b">
        <v>0</v>
      </c>
      <c r="C18" s="12" t="s">
        <v>32</v>
      </c>
      <c r="D18" s="156" t="s">
        <v>582</v>
      </c>
      <c r="E18" s="155" t="s">
        <v>373</v>
      </c>
      <c r="F18" s="26">
        <v>2</v>
      </c>
      <c r="G18" s="38">
        <v>4</v>
      </c>
      <c r="H18" s="26" t="s">
        <v>70</v>
      </c>
      <c r="I18" s="12"/>
      <c r="J18" s="12"/>
      <c r="K18" s="242"/>
      <c r="L18" s="245"/>
      <c r="M18" s="25"/>
      <c r="N18" s="31" t="s">
        <v>583</v>
      </c>
      <c r="O18" s="29"/>
      <c r="P18" s="29"/>
      <c r="Q18" s="30"/>
    </row>
    <row r="19" spans="1:17" ht="39">
      <c r="A19" s="16">
        <v>10</v>
      </c>
      <c r="B19" s="310" t="b">
        <v>0</v>
      </c>
      <c r="C19" s="12" t="s">
        <v>32</v>
      </c>
      <c r="D19" s="156" t="s">
        <v>402</v>
      </c>
      <c r="E19" s="155" t="s">
        <v>585</v>
      </c>
      <c r="F19" s="26">
        <v>2</v>
      </c>
      <c r="G19" s="38">
        <v>4</v>
      </c>
      <c r="H19" s="26" t="s">
        <v>70</v>
      </c>
      <c r="I19" s="12"/>
      <c r="J19" s="12"/>
      <c r="K19" s="242"/>
      <c r="L19" s="245"/>
      <c r="M19" s="25"/>
      <c r="N19" s="31" t="s">
        <v>584</v>
      </c>
      <c r="O19" s="29"/>
      <c r="P19" s="29"/>
      <c r="Q19" s="30"/>
    </row>
    <row r="20" spans="1:17" ht="33.75" customHeight="1">
      <c r="A20" s="16">
        <v>11</v>
      </c>
      <c r="B20" s="310" t="b">
        <v>0</v>
      </c>
      <c r="C20" s="12" t="s">
        <v>32</v>
      </c>
      <c r="D20" s="156" t="s">
        <v>403</v>
      </c>
      <c r="E20" s="155" t="s">
        <v>586</v>
      </c>
      <c r="F20" s="26">
        <v>2</v>
      </c>
      <c r="G20" s="38">
        <v>32</v>
      </c>
      <c r="H20" s="26" t="s">
        <v>70</v>
      </c>
      <c r="I20" s="12"/>
      <c r="J20" s="12"/>
      <c r="K20" s="242"/>
      <c r="L20" s="245"/>
      <c r="M20" s="25"/>
      <c r="N20" s="31" t="s">
        <v>587</v>
      </c>
      <c r="O20" s="29"/>
      <c r="P20" s="29"/>
      <c r="Q20" s="30"/>
    </row>
    <row r="21" spans="1:17" ht="39">
      <c r="A21" s="16">
        <v>12</v>
      </c>
      <c r="B21" s="310" t="b">
        <v>0</v>
      </c>
      <c r="C21" s="12" t="s">
        <v>32</v>
      </c>
      <c r="D21" s="156" t="s">
        <v>404</v>
      </c>
      <c r="E21" s="155" t="s">
        <v>588</v>
      </c>
      <c r="F21" s="26">
        <v>2</v>
      </c>
      <c r="G21" s="38">
        <v>32</v>
      </c>
      <c r="H21" s="26" t="s">
        <v>70</v>
      </c>
      <c r="I21" s="12"/>
      <c r="J21" s="12"/>
      <c r="K21" s="242"/>
      <c r="L21" s="245"/>
      <c r="M21" s="25"/>
      <c r="N21" s="31" t="s">
        <v>589</v>
      </c>
      <c r="O21" s="29"/>
      <c r="P21" s="29"/>
      <c r="Q21" s="30"/>
    </row>
    <row r="22" spans="1:17" ht="33.75" customHeight="1">
      <c r="A22" s="16">
        <v>13</v>
      </c>
      <c r="B22" s="310" t="b">
        <v>0</v>
      </c>
      <c r="C22" s="12" t="s">
        <v>32</v>
      </c>
      <c r="D22" s="156" t="s">
        <v>405</v>
      </c>
      <c r="E22" s="155" t="s">
        <v>591</v>
      </c>
      <c r="F22" s="26">
        <v>2</v>
      </c>
      <c r="G22" s="38">
        <v>32</v>
      </c>
      <c r="H22" s="26" t="s">
        <v>70</v>
      </c>
      <c r="I22" s="12"/>
      <c r="J22" s="12"/>
      <c r="K22" s="242"/>
      <c r="L22" s="245"/>
      <c r="M22" s="25"/>
      <c r="N22" s="31" t="s">
        <v>594</v>
      </c>
      <c r="O22" s="29"/>
      <c r="P22" s="29"/>
      <c r="Q22" s="30"/>
    </row>
    <row r="23" spans="1:17" ht="33.75" customHeight="1">
      <c r="A23" s="16">
        <v>14</v>
      </c>
      <c r="B23" s="310" t="b">
        <v>0</v>
      </c>
      <c r="C23" s="12" t="s">
        <v>32</v>
      </c>
      <c r="D23" s="18" t="s">
        <v>590</v>
      </c>
      <c r="E23" s="14" t="s">
        <v>592</v>
      </c>
      <c r="F23" s="26">
        <v>2</v>
      </c>
      <c r="G23" s="38">
        <v>32</v>
      </c>
      <c r="H23" s="26" t="s">
        <v>70</v>
      </c>
      <c r="I23" s="12"/>
      <c r="J23" s="12"/>
      <c r="K23" s="242"/>
      <c r="L23" s="245"/>
      <c r="M23" s="25"/>
      <c r="N23" s="31" t="s">
        <v>595</v>
      </c>
      <c r="O23" s="29"/>
      <c r="P23" s="29"/>
      <c r="Q23" s="30"/>
    </row>
    <row r="24" spans="1:17" ht="33.75" customHeight="1">
      <c r="A24" s="16">
        <v>15</v>
      </c>
      <c r="B24" s="310" t="b">
        <v>0</v>
      </c>
      <c r="C24" s="12" t="s">
        <v>32</v>
      </c>
      <c r="D24" s="18" t="s">
        <v>348</v>
      </c>
      <c r="E24" s="14" t="s">
        <v>593</v>
      </c>
      <c r="F24" s="26">
        <v>2</v>
      </c>
      <c r="G24" s="38">
        <v>4</v>
      </c>
      <c r="H24" s="26" t="s">
        <v>70</v>
      </c>
      <c r="I24" s="12"/>
      <c r="J24" s="12"/>
      <c r="K24" s="242"/>
      <c r="L24" s="245"/>
      <c r="M24" s="25"/>
      <c r="N24" s="31" t="s">
        <v>596</v>
      </c>
      <c r="O24" s="29"/>
      <c r="P24" s="29"/>
      <c r="Q24" s="30"/>
    </row>
    <row r="25" spans="1:17" ht="33.75" customHeight="1">
      <c r="A25" s="16">
        <v>16</v>
      </c>
      <c r="B25" s="310" t="b">
        <v>0</v>
      </c>
      <c r="C25" s="12" t="s">
        <v>33</v>
      </c>
      <c r="D25" s="18" t="s">
        <v>597</v>
      </c>
      <c r="E25" s="14" t="s">
        <v>374</v>
      </c>
      <c r="F25" s="26">
        <v>2</v>
      </c>
      <c r="G25" s="38">
        <v>2</v>
      </c>
      <c r="H25" s="26" t="s">
        <v>70</v>
      </c>
      <c r="I25" s="12"/>
      <c r="J25" s="12"/>
      <c r="K25" s="242"/>
      <c r="L25" s="245"/>
      <c r="M25" s="25"/>
      <c r="N25" s="28" t="s">
        <v>349</v>
      </c>
      <c r="O25" s="29"/>
      <c r="P25" s="29"/>
      <c r="Q25" s="30"/>
    </row>
    <row r="26" spans="1:17" ht="33.75" customHeight="1">
      <c r="A26" s="16">
        <v>17</v>
      </c>
      <c r="B26" s="310" t="b">
        <v>0</v>
      </c>
      <c r="C26" s="13" t="s">
        <v>69</v>
      </c>
      <c r="D26" s="198" t="s">
        <v>515</v>
      </c>
      <c r="E26" s="14" t="s">
        <v>147</v>
      </c>
      <c r="F26" s="26">
        <v>5</v>
      </c>
      <c r="G26" s="38">
        <v>1</v>
      </c>
      <c r="H26" s="26" t="s">
        <v>70</v>
      </c>
      <c r="I26" s="12"/>
      <c r="J26" s="12"/>
      <c r="K26" s="242"/>
      <c r="L26" s="245"/>
      <c r="M26" s="25"/>
      <c r="N26" s="31"/>
      <c r="O26" s="32"/>
      <c r="P26" s="32"/>
      <c r="Q26" s="33"/>
    </row>
    <row r="27" spans="1:17" ht="33.75" customHeight="1">
      <c r="A27" s="16">
        <v>18</v>
      </c>
      <c r="B27" s="310" t="b">
        <v>0</v>
      </c>
      <c r="C27" s="12"/>
      <c r="D27" s="198" t="s">
        <v>515</v>
      </c>
      <c r="E27" s="14" t="s">
        <v>225</v>
      </c>
      <c r="F27" s="26">
        <v>5</v>
      </c>
      <c r="G27" s="38">
        <v>1</v>
      </c>
      <c r="H27" s="26" t="s">
        <v>70</v>
      </c>
      <c r="I27" s="12"/>
      <c r="J27" s="12"/>
      <c r="K27" s="242" t="s">
        <v>599</v>
      </c>
      <c r="L27" s="245" t="s">
        <v>598</v>
      </c>
      <c r="M27" s="25">
        <v>2</v>
      </c>
      <c r="N27" s="31"/>
      <c r="O27" s="32"/>
      <c r="P27" s="32"/>
      <c r="Q27" s="33"/>
    </row>
    <row r="28" spans="1:17" ht="33.75" customHeight="1">
      <c r="A28" s="16">
        <v>19</v>
      </c>
      <c r="B28" s="310" t="b">
        <v>0</v>
      </c>
      <c r="C28" s="12" t="s">
        <v>550</v>
      </c>
      <c r="D28" s="18" t="s">
        <v>600</v>
      </c>
      <c r="E28" s="14" t="s">
        <v>255</v>
      </c>
      <c r="F28" s="26">
        <v>5</v>
      </c>
      <c r="G28" s="38">
        <v>1</v>
      </c>
      <c r="H28" s="26" t="s">
        <v>70</v>
      </c>
      <c r="I28" s="12"/>
      <c r="J28" s="12"/>
      <c r="K28" s="242"/>
      <c r="L28" s="245"/>
      <c r="M28" s="25"/>
      <c r="N28" s="31"/>
      <c r="O28" s="32"/>
      <c r="P28" s="32"/>
      <c r="Q28" s="33"/>
    </row>
    <row r="29" spans="1:17" ht="33.75" customHeight="1">
      <c r="A29" s="16">
        <v>20</v>
      </c>
      <c r="B29" s="310" t="b">
        <v>0</v>
      </c>
      <c r="C29" s="12" t="s">
        <v>495</v>
      </c>
      <c r="D29" s="18" t="s">
        <v>603</v>
      </c>
      <c r="E29" s="154" t="s">
        <v>496</v>
      </c>
      <c r="F29" s="26">
        <v>5</v>
      </c>
      <c r="G29" s="38">
        <v>1</v>
      </c>
      <c r="H29" s="40" t="s">
        <v>70</v>
      </c>
      <c r="I29" s="12"/>
      <c r="J29" s="12"/>
      <c r="K29" s="242"/>
      <c r="L29" s="245"/>
      <c r="M29" s="25"/>
      <c r="N29" s="217" t="s">
        <v>605</v>
      </c>
      <c r="O29" s="185"/>
      <c r="P29" s="185"/>
      <c r="Q29" s="186"/>
    </row>
    <row r="30" spans="1:17" ht="33.75" customHeight="1">
      <c r="A30" s="16">
        <v>20</v>
      </c>
      <c r="B30" s="310" t="b">
        <v>0</v>
      </c>
      <c r="C30" s="12" t="s">
        <v>602</v>
      </c>
      <c r="D30" s="18" t="s">
        <v>604</v>
      </c>
      <c r="E30" s="154" t="s">
        <v>496</v>
      </c>
      <c r="F30" s="26">
        <v>5</v>
      </c>
      <c r="G30" s="38">
        <v>1</v>
      </c>
      <c r="H30" s="40" t="s">
        <v>70</v>
      </c>
      <c r="I30" s="12"/>
      <c r="J30" s="12"/>
      <c r="K30" s="242"/>
      <c r="L30" s="245"/>
      <c r="M30" s="25"/>
      <c r="N30" s="217" t="s">
        <v>605</v>
      </c>
      <c r="O30" s="185"/>
      <c r="P30" s="185"/>
      <c r="Q30" s="186"/>
    </row>
    <row r="31" spans="1:17" ht="33.75" customHeight="1">
      <c r="A31" s="16">
        <v>21</v>
      </c>
      <c r="B31" s="310" t="b">
        <v>0</v>
      </c>
      <c r="C31" s="12" t="s">
        <v>28</v>
      </c>
      <c r="D31" s="18" t="s">
        <v>471</v>
      </c>
      <c r="E31" s="154" t="s">
        <v>144</v>
      </c>
      <c r="F31" s="26">
        <v>5</v>
      </c>
      <c r="G31" s="38">
        <v>1</v>
      </c>
      <c r="H31" s="40" t="s">
        <v>70</v>
      </c>
      <c r="I31" s="12"/>
      <c r="J31" s="12"/>
      <c r="K31" s="242"/>
      <c r="L31" s="245"/>
      <c r="M31" s="25"/>
      <c r="N31" s="31"/>
      <c r="O31" s="32"/>
      <c r="P31" s="32"/>
      <c r="Q31" s="33"/>
    </row>
    <row r="32" spans="1:17" ht="33.75" customHeight="1">
      <c r="A32" s="16">
        <v>22</v>
      </c>
      <c r="B32" s="310" t="b">
        <v>0</v>
      </c>
      <c r="C32" s="12" t="s">
        <v>606</v>
      </c>
      <c r="D32" s="18" t="s">
        <v>607</v>
      </c>
      <c r="E32" s="14" t="s">
        <v>148</v>
      </c>
      <c r="F32" s="26">
        <v>5</v>
      </c>
      <c r="G32" s="38">
        <v>1</v>
      </c>
      <c r="H32" s="26" t="s">
        <v>70</v>
      </c>
      <c r="I32" s="12"/>
      <c r="J32" s="12"/>
      <c r="K32" s="242"/>
      <c r="L32" s="245"/>
      <c r="M32" s="25"/>
      <c r="N32" s="31" t="s">
        <v>610</v>
      </c>
      <c r="O32" s="29"/>
      <c r="P32" s="29"/>
      <c r="Q32" s="30"/>
    </row>
    <row r="33" spans="1:17" ht="33.75" customHeight="1">
      <c r="A33" s="16">
        <v>22</v>
      </c>
      <c r="B33" s="310" t="b">
        <v>0</v>
      </c>
      <c r="C33" s="12" t="s">
        <v>474</v>
      </c>
      <c r="D33" s="18" t="s">
        <v>608</v>
      </c>
      <c r="E33" s="14" t="s">
        <v>148</v>
      </c>
      <c r="F33" s="26">
        <v>5</v>
      </c>
      <c r="G33" s="38">
        <v>1</v>
      </c>
      <c r="H33" s="26" t="s">
        <v>70</v>
      </c>
      <c r="I33" s="12"/>
      <c r="J33" s="12"/>
      <c r="K33" s="242"/>
      <c r="L33" s="245"/>
      <c r="M33" s="25"/>
      <c r="N33" s="31" t="s">
        <v>609</v>
      </c>
      <c r="O33" s="29"/>
      <c r="P33" s="29"/>
      <c r="Q33" s="30"/>
    </row>
    <row r="34" spans="1:17" ht="33.75" customHeight="1">
      <c r="A34" s="16">
        <v>23</v>
      </c>
      <c r="B34" s="310" t="b">
        <v>0</v>
      </c>
      <c r="C34" s="12" t="s">
        <v>35</v>
      </c>
      <c r="D34" s="18" t="s">
        <v>601</v>
      </c>
      <c r="E34" s="14" t="s">
        <v>174</v>
      </c>
      <c r="F34" s="26">
        <v>5</v>
      </c>
      <c r="G34" s="38">
        <v>1</v>
      </c>
      <c r="H34" s="26" t="s">
        <v>70</v>
      </c>
      <c r="I34" s="12"/>
      <c r="J34" s="12"/>
      <c r="K34" s="242"/>
      <c r="L34" s="245"/>
      <c r="M34" s="25"/>
      <c r="N34" s="28" t="s">
        <v>380</v>
      </c>
      <c r="O34" s="29"/>
      <c r="P34" s="29"/>
      <c r="Q34" s="30"/>
    </row>
    <row r="35" spans="1:17" ht="33.75" customHeight="1">
      <c r="A35" s="16">
        <v>24</v>
      </c>
      <c r="B35" s="310" t="b">
        <v>0</v>
      </c>
      <c r="C35" s="12"/>
      <c r="D35" s="18" t="s">
        <v>441</v>
      </c>
      <c r="E35" s="14" t="s">
        <v>611</v>
      </c>
      <c r="F35" s="40">
        <v>5</v>
      </c>
      <c r="G35" s="38">
        <v>3</v>
      </c>
      <c r="H35" s="26" t="s">
        <v>70</v>
      </c>
      <c r="I35" s="12"/>
      <c r="J35" s="12"/>
      <c r="K35" s="242"/>
      <c r="L35" s="245"/>
      <c r="M35" s="25"/>
      <c r="N35" s="31" t="s">
        <v>429</v>
      </c>
      <c r="O35" s="32"/>
      <c r="P35" s="32"/>
      <c r="Q35" s="33"/>
    </row>
    <row r="36" spans="1:17" ht="33.75" customHeight="1">
      <c r="A36" s="16">
        <v>25</v>
      </c>
      <c r="B36" s="310" t="b">
        <v>0</v>
      </c>
      <c r="C36" s="12"/>
      <c r="D36" s="18" t="s">
        <v>442</v>
      </c>
      <c r="E36" s="14" t="s">
        <v>191</v>
      </c>
      <c r="F36" s="40">
        <v>5</v>
      </c>
      <c r="G36" s="38">
        <v>3</v>
      </c>
      <c r="H36" s="26" t="s">
        <v>70</v>
      </c>
      <c r="I36" s="12"/>
      <c r="J36" s="12"/>
      <c r="K36" s="242"/>
      <c r="L36" s="245"/>
      <c r="M36" s="25"/>
      <c r="N36" s="28" t="s">
        <v>451</v>
      </c>
      <c r="O36" s="32"/>
      <c r="P36" s="32"/>
      <c r="Q36" s="33"/>
    </row>
    <row r="37" spans="1:17" ht="33.75" customHeight="1">
      <c r="A37" s="16">
        <v>26</v>
      </c>
      <c r="B37" s="310" t="b">
        <v>0</v>
      </c>
      <c r="C37" s="12"/>
      <c r="D37" s="18" t="s">
        <v>443</v>
      </c>
      <c r="E37" s="14" t="s">
        <v>516</v>
      </c>
      <c r="F37" s="40">
        <v>5</v>
      </c>
      <c r="G37" s="38">
        <v>3</v>
      </c>
      <c r="H37" s="26" t="s">
        <v>70</v>
      </c>
      <c r="I37" s="12"/>
      <c r="J37" s="12"/>
      <c r="K37" s="242"/>
      <c r="L37" s="245"/>
      <c r="M37" s="25"/>
      <c r="N37" s="28" t="s">
        <v>448</v>
      </c>
      <c r="O37" s="32"/>
      <c r="P37" s="32"/>
      <c r="Q37" s="33"/>
    </row>
    <row r="38" spans="1:17" ht="33.75" customHeight="1">
      <c r="A38" s="16">
        <v>27</v>
      </c>
      <c r="B38" s="310" t="b">
        <v>0</v>
      </c>
      <c r="C38" s="12"/>
      <c r="D38" s="18" t="s">
        <v>444</v>
      </c>
      <c r="E38" s="14" t="s">
        <v>445</v>
      </c>
      <c r="F38" s="40">
        <v>5</v>
      </c>
      <c r="G38" s="38">
        <v>3</v>
      </c>
      <c r="H38" s="26" t="s">
        <v>70</v>
      </c>
      <c r="I38" s="12"/>
      <c r="J38" s="12"/>
      <c r="K38" s="242"/>
      <c r="L38" s="245"/>
      <c r="M38" s="25"/>
      <c r="N38" s="28" t="s">
        <v>449</v>
      </c>
      <c r="O38" s="32"/>
      <c r="P38" s="32"/>
      <c r="Q38" s="33"/>
    </row>
    <row r="39" spans="1:17" ht="33.75" customHeight="1">
      <c r="A39" s="16">
        <v>28</v>
      </c>
      <c r="B39" s="310" t="b">
        <v>0</v>
      </c>
      <c r="C39" s="12"/>
      <c r="D39" s="18" t="s">
        <v>446</v>
      </c>
      <c r="E39" s="14" t="s">
        <v>447</v>
      </c>
      <c r="F39" s="40">
        <v>5</v>
      </c>
      <c r="G39" s="38">
        <v>3</v>
      </c>
      <c r="H39" s="26" t="s">
        <v>70</v>
      </c>
      <c r="I39" s="12"/>
      <c r="J39" s="12"/>
      <c r="K39" s="242"/>
      <c r="L39" s="245"/>
      <c r="M39" s="25"/>
      <c r="N39" s="28" t="s">
        <v>450</v>
      </c>
      <c r="O39" s="32"/>
      <c r="P39" s="32"/>
      <c r="Q39" s="33"/>
    </row>
    <row r="40" spans="1:17" ht="33.75" customHeight="1">
      <c r="A40" s="16">
        <v>29</v>
      </c>
      <c r="B40" s="310" t="b">
        <v>0</v>
      </c>
      <c r="C40" s="12" t="s">
        <v>43</v>
      </c>
      <c r="D40" s="198" t="s">
        <v>515</v>
      </c>
      <c r="E40" s="14" t="s">
        <v>167</v>
      </c>
      <c r="F40" s="26">
        <v>24</v>
      </c>
      <c r="G40" s="38">
        <v>2</v>
      </c>
      <c r="H40" s="26" t="s">
        <v>70</v>
      </c>
      <c r="I40" s="12"/>
      <c r="J40" s="12"/>
      <c r="K40" s="242" t="s">
        <v>599</v>
      </c>
      <c r="L40" s="245" t="s">
        <v>618</v>
      </c>
      <c r="M40" s="311" t="s">
        <v>617</v>
      </c>
      <c r="N40" s="28" t="s">
        <v>62</v>
      </c>
      <c r="O40" s="29"/>
      <c r="P40" s="29"/>
      <c r="Q40" s="30"/>
    </row>
    <row r="41" spans="1:17" ht="33.75" customHeight="1">
      <c r="A41" s="16">
        <v>30</v>
      </c>
      <c r="B41" s="310" t="b">
        <v>0</v>
      </c>
      <c r="C41" s="12" t="s">
        <v>43</v>
      </c>
      <c r="D41" s="198" t="s">
        <v>515</v>
      </c>
      <c r="E41" s="14" t="s">
        <v>168</v>
      </c>
      <c r="F41" s="26">
        <v>24</v>
      </c>
      <c r="G41" s="38">
        <v>4</v>
      </c>
      <c r="H41" s="26" t="s">
        <v>70</v>
      </c>
      <c r="I41" s="12"/>
      <c r="J41" s="12"/>
      <c r="K41" s="242" t="s">
        <v>599</v>
      </c>
      <c r="L41" s="245" t="s">
        <v>618</v>
      </c>
      <c r="M41" s="25">
        <v>2</v>
      </c>
      <c r="N41" s="28" t="s">
        <v>62</v>
      </c>
      <c r="O41" s="29"/>
      <c r="P41" s="29"/>
      <c r="Q41" s="30"/>
    </row>
    <row r="42" spans="1:17" ht="33.75" customHeight="1">
      <c r="A42" s="16">
        <v>31</v>
      </c>
      <c r="B42" s="310" t="b">
        <v>0</v>
      </c>
      <c r="C42" s="12" t="s">
        <v>43</v>
      </c>
      <c r="D42" s="198" t="s">
        <v>515</v>
      </c>
      <c r="E42" s="14" t="s">
        <v>168</v>
      </c>
      <c r="F42" s="26">
        <v>24</v>
      </c>
      <c r="G42" s="38">
        <v>2</v>
      </c>
      <c r="H42" s="26" t="s">
        <v>70</v>
      </c>
      <c r="I42" s="12"/>
      <c r="J42" s="12"/>
      <c r="K42" s="242" t="s">
        <v>599</v>
      </c>
      <c r="L42" s="245" t="s">
        <v>618</v>
      </c>
      <c r="M42" s="25">
        <v>3</v>
      </c>
      <c r="N42" s="31" t="s">
        <v>414</v>
      </c>
      <c r="O42" s="29"/>
      <c r="P42" s="29"/>
      <c r="Q42" s="30"/>
    </row>
    <row r="43" spans="1:17" ht="33.75" customHeight="1">
      <c r="A43" s="16">
        <v>32</v>
      </c>
      <c r="B43" s="310" t="b">
        <v>0</v>
      </c>
      <c r="C43" s="12"/>
      <c r="D43" s="198" t="s">
        <v>515</v>
      </c>
      <c r="E43" s="14" t="s">
        <v>353</v>
      </c>
      <c r="F43" s="26">
        <v>24</v>
      </c>
      <c r="G43" s="38">
        <v>28</v>
      </c>
      <c r="H43" s="26" t="s">
        <v>70</v>
      </c>
      <c r="I43" s="12"/>
      <c r="J43" s="12"/>
      <c r="K43" s="242"/>
      <c r="L43" s="245"/>
      <c r="M43" s="25"/>
      <c r="N43" s="28"/>
      <c r="O43" s="29"/>
      <c r="P43" s="29"/>
      <c r="Q43" s="30"/>
    </row>
    <row r="44" spans="1:17" ht="33.75" customHeight="1">
      <c r="A44" s="16">
        <v>33</v>
      </c>
      <c r="B44" s="310" t="b">
        <v>0</v>
      </c>
      <c r="C44" s="12" t="s">
        <v>36</v>
      </c>
      <c r="D44" s="18" t="s">
        <v>612</v>
      </c>
      <c r="E44" s="14" t="s">
        <v>149</v>
      </c>
      <c r="F44" s="26">
        <v>6</v>
      </c>
      <c r="G44" s="38">
        <v>2</v>
      </c>
      <c r="H44" s="26" t="s">
        <v>70</v>
      </c>
      <c r="I44" s="12"/>
      <c r="J44" s="12"/>
      <c r="K44" s="242"/>
      <c r="L44" s="245"/>
      <c r="M44" s="25"/>
      <c r="N44" s="28" t="s">
        <v>62</v>
      </c>
      <c r="O44" s="29"/>
      <c r="P44" s="29"/>
      <c r="Q44" s="30"/>
    </row>
    <row r="45" spans="1:17" ht="33.75" customHeight="1">
      <c r="A45" s="16">
        <v>33</v>
      </c>
      <c r="B45" s="310" t="b">
        <v>0</v>
      </c>
      <c r="C45" s="12" t="s">
        <v>36</v>
      </c>
      <c r="D45" s="18" t="s">
        <v>612</v>
      </c>
      <c r="E45" s="14" t="s">
        <v>149</v>
      </c>
      <c r="F45" s="26">
        <v>7</v>
      </c>
      <c r="G45" s="38">
        <v>2</v>
      </c>
      <c r="H45" s="26" t="s">
        <v>70</v>
      </c>
      <c r="I45" s="12"/>
      <c r="J45" s="12"/>
      <c r="K45" s="242"/>
      <c r="L45" s="245"/>
      <c r="M45" s="25"/>
      <c r="N45" s="28" t="s">
        <v>62</v>
      </c>
      <c r="O45" s="29"/>
      <c r="P45" s="29"/>
      <c r="Q45" s="30"/>
    </row>
    <row r="46" spans="1:17" ht="33.75" customHeight="1">
      <c r="A46" s="16">
        <v>33</v>
      </c>
      <c r="B46" s="310" t="b">
        <v>0</v>
      </c>
      <c r="C46" s="12" t="s">
        <v>36</v>
      </c>
      <c r="D46" s="18" t="s">
        <v>613</v>
      </c>
      <c r="E46" s="14" t="s">
        <v>149</v>
      </c>
      <c r="F46" s="26">
        <v>8</v>
      </c>
      <c r="G46" s="38">
        <v>3</v>
      </c>
      <c r="H46" s="26" t="s">
        <v>70</v>
      </c>
      <c r="I46" s="12"/>
      <c r="J46" s="12"/>
      <c r="K46" s="242"/>
      <c r="L46" s="245"/>
      <c r="M46" s="25"/>
      <c r="N46" s="28" t="s">
        <v>62</v>
      </c>
      <c r="O46" s="29"/>
      <c r="P46" s="29"/>
      <c r="Q46" s="30"/>
    </row>
    <row r="47" spans="1:17" ht="33.75" customHeight="1">
      <c r="A47" s="16">
        <v>33</v>
      </c>
      <c r="B47" s="310" t="b">
        <v>0</v>
      </c>
      <c r="C47" s="12" t="s">
        <v>36</v>
      </c>
      <c r="D47" s="18" t="s">
        <v>613</v>
      </c>
      <c r="E47" s="14" t="s">
        <v>149</v>
      </c>
      <c r="F47" s="26">
        <v>9</v>
      </c>
      <c r="G47" s="38">
        <v>1</v>
      </c>
      <c r="H47" s="26" t="s">
        <v>70</v>
      </c>
      <c r="I47" s="12"/>
      <c r="J47" s="12"/>
      <c r="K47" s="242"/>
      <c r="L47" s="245"/>
      <c r="M47" s="25"/>
      <c r="N47" s="28" t="s">
        <v>62</v>
      </c>
      <c r="O47" s="29"/>
      <c r="P47" s="29"/>
      <c r="Q47" s="30"/>
    </row>
    <row r="48" spans="1:17" ht="33.75" customHeight="1">
      <c r="A48" s="16">
        <v>33</v>
      </c>
      <c r="B48" s="310" t="b">
        <v>0</v>
      </c>
      <c r="C48" s="12" t="s">
        <v>36</v>
      </c>
      <c r="D48" s="18" t="s">
        <v>614</v>
      </c>
      <c r="E48" s="14" t="s">
        <v>149</v>
      </c>
      <c r="F48" s="26">
        <v>9</v>
      </c>
      <c r="G48" s="38">
        <v>2</v>
      </c>
      <c r="H48" s="26" t="s">
        <v>70</v>
      </c>
      <c r="I48" s="12"/>
      <c r="J48" s="12"/>
      <c r="K48" s="242"/>
      <c r="L48" s="245"/>
      <c r="M48" s="25"/>
      <c r="N48" s="28" t="s">
        <v>62</v>
      </c>
      <c r="O48" s="29"/>
      <c r="P48" s="29"/>
      <c r="Q48" s="30"/>
    </row>
    <row r="49" spans="1:17" ht="33.75" customHeight="1">
      <c r="A49" s="16">
        <v>33</v>
      </c>
      <c r="B49" s="310" t="b">
        <v>0</v>
      </c>
      <c r="C49" s="12" t="s">
        <v>36</v>
      </c>
      <c r="D49" s="18" t="s">
        <v>614</v>
      </c>
      <c r="E49" s="14" t="s">
        <v>149</v>
      </c>
      <c r="F49" s="26">
        <v>10</v>
      </c>
      <c r="G49" s="38">
        <v>3</v>
      </c>
      <c r="H49" s="26" t="s">
        <v>70</v>
      </c>
      <c r="I49" s="12"/>
      <c r="J49" s="12"/>
      <c r="K49" s="242"/>
      <c r="L49" s="245"/>
      <c r="M49" s="25"/>
      <c r="N49" s="28" t="s">
        <v>62</v>
      </c>
      <c r="O49" s="29"/>
      <c r="P49" s="29"/>
      <c r="Q49" s="30"/>
    </row>
    <row r="50" spans="1:17" ht="33.75" customHeight="1">
      <c r="A50" s="16">
        <v>33</v>
      </c>
      <c r="B50" s="310" t="b">
        <v>0</v>
      </c>
      <c r="C50" s="12" t="s">
        <v>36</v>
      </c>
      <c r="D50" s="18" t="s">
        <v>614</v>
      </c>
      <c r="E50" s="14" t="s">
        <v>149</v>
      </c>
      <c r="F50" s="26">
        <v>11</v>
      </c>
      <c r="G50" s="38">
        <v>3</v>
      </c>
      <c r="H50" s="26" t="s">
        <v>70</v>
      </c>
      <c r="I50" s="12"/>
      <c r="J50" s="12"/>
      <c r="K50" s="242"/>
      <c r="L50" s="245"/>
      <c r="M50" s="25"/>
      <c r="N50" s="28" t="s">
        <v>62</v>
      </c>
      <c r="O50" s="29"/>
      <c r="P50" s="29"/>
      <c r="Q50" s="30"/>
    </row>
    <row r="51" spans="1:17" ht="33.75" customHeight="1">
      <c r="A51" s="16">
        <v>33</v>
      </c>
      <c r="B51" s="310" t="b">
        <v>0</v>
      </c>
      <c r="C51" s="12" t="s">
        <v>36</v>
      </c>
      <c r="D51" s="18" t="s">
        <v>614</v>
      </c>
      <c r="E51" s="14" t="s">
        <v>149</v>
      </c>
      <c r="F51" s="26">
        <v>12</v>
      </c>
      <c r="G51" s="38">
        <v>3</v>
      </c>
      <c r="H51" s="26" t="s">
        <v>70</v>
      </c>
      <c r="I51" s="12"/>
      <c r="J51" s="12"/>
      <c r="K51" s="242"/>
      <c r="L51" s="245"/>
      <c r="M51" s="25"/>
      <c r="N51" s="28" t="s">
        <v>62</v>
      </c>
      <c r="O51" s="29"/>
      <c r="P51" s="29"/>
      <c r="Q51" s="30"/>
    </row>
    <row r="52" spans="1:17" ht="33.75" customHeight="1">
      <c r="A52" s="16">
        <v>33</v>
      </c>
      <c r="B52" s="310" t="b">
        <v>0</v>
      </c>
      <c r="C52" s="12" t="s">
        <v>36</v>
      </c>
      <c r="D52" s="18" t="s">
        <v>614</v>
      </c>
      <c r="E52" s="14" t="s">
        <v>149</v>
      </c>
      <c r="F52" s="26">
        <v>13</v>
      </c>
      <c r="G52" s="38">
        <v>3</v>
      </c>
      <c r="H52" s="26" t="s">
        <v>70</v>
      </c>
      <c r="I52" s="12"/>
      <c r="J52" s="12"/>
      <c r="K52" s="242"/>
      <c r="L52" s="245"/>
      <c r="M52" s="25"/>
      <c r="N52" s="28" t="s">
        <v>62</v>
      </c>
      <c r="O52" s="29"/>
      <c r="P52" s="29"/>
      <c r="Q52" s="30"/>
    </row>
    <row r="53" spans="1:17" ht="33.75" customHeight="1">
      <c r="A53" s="16">
        <v>33</v>
      </c>
      <c r="B53" s="310" t="b">
        <v>0</v>
      </c>
      <c r="C53" s="12" t="s">
        <v>36</v>
      </c>
      <c r="D53" s="18" t="s">
        <v>614</v>
      </c>
      <c r="E53" s="14" t="s">
        <v>149</v>
      </c>
      <c r="F53" s="26">
        <v>14</v>
      </c>
      <c r="G53" s="38">
        <v>3</v>
      </c>
      <c r="H53" s="26" t="s">
        <v>70</v>
      </c>
      <c r="I53" s="12"/>
      <c r="J53" s="12"/>
      <c r="K53" s="242"/>
      <c r="L53" s="245"/>
      <c r="M53" s="25"/>
      <c r="N53" s="28" t="s">
        <v>62</v>
      </c>
      <c r="O53" s="29"/>
      <c r="P53" s="29"/>
      <c r="Q53" s="30"/>
    </row>
    <row r="54" spans="1:17" ht="33.75" customHeight="1">
      <c r="A54" s="16">
        <v>33</v>
      </c>
      <c r="B54" s="310" t="b">
        <v>0</v>
      </c>
      <c r="C54" s="12" t="s">
        <v>36</v>
      </c>
      <c r="D54" s="18" t="s">
        <v>614</v>
      </c>
      <c r="E54" s="14" t="s">
        <v>149</v>
      </c>
      <c r="F54" s="26">
        <v>15</v>
      </c>
      <c r="G54" s="38">
        <v>3</v>
      </c>
      <c r="H54" s="26" t="s">
        <v>70</v>
      </c>
      <c r="I54" s="12"/>
      <c r="J54" s="12"/>
      <c r="K54" s="242"/>
      <c r="L54" s="245"/>
      <c r="M54" s="25"/>
      <c r="N54" s="28" t="s">
        <v>62</v>
      </c>
      <c r="O54" s="29"/>
      <c r="P54" s="29"/>
      <c r="Q54" s="30"/>
    </row>
    <row r="55" spans="1:17" ht="33.75" customHeight="1">
      <c r="A55" s="16">
        <v>34</v>
      </c>
      <c r="B55" s="310" t="b">
        <v>0</v>
      </c>
      <c r="C55" s="12" t="s">
        <v>42</v>
      </c>
      <c r="D55" s="18" t="s">
        <v>615</v>
      </c>
      <c r="E55" s="14" t="s">
        <v>154</v>
      </c>
      <c r="F55" s="26">
        <v>16</v>
      </c>
      <c r="G55" s="38">
        <v>3</v>
      </c>
      <c r="H55" s="40" t="s">
        <v>70</v>
      </c>
      <c r="I55" s="12"/>
      <c r="J55" s="12"/>
      <c r="K55" s="242"/>
      <c r="L55" s="245"/>
      <c r="M55" s="25"/>
      <c r="N55" s="31" t="s">
        <v>616</v>
      </c>
      <c r="O55" s="29"/>
      <c r="P55" s="29"/>
      <c r="Q55" s="30"/>
    </row>
    <row r="56" spans="1:17" ht="33.75" customHeight="1">
      <c r="A56" s="16">
        <v>34</v>
      </c>
      <c r="B56" s="310" t="b">
        <v>0</v>
      </c>
      <c r="C56" s="12" t="s">
        <v>42</v>
      </c>
      <c r="D56" s="18" t="s">
        <v>615</v>
      </c>
      <c r="E56" s="14" t="s">
        <v>154</v>
      </c>
      <c r="F56" s="26">
        <v>17</v>
      </c>
      <c r="G56" s="38">
        <v>3</v>
      </c>
      <c r="H56" s="40" t="s">
        <v>70</v>
      </c>
      <c r="I56" s="12"/>
      <c r="J56" s="12"/>
      <c r="K56" s="242"/>
      <c r="L56" s="245"/>
      <c r="M56" s="25"/>
      <c r="N56" s="31" t="s">
        <v>616</v>
      </c>
      <c r="O56" s="29"/>
      <c r="P56" s="29"/>
      <c r="Q56" s="30"/>
    </row>
    <row r="57" spans="1:17" ht="33.75" customHeight="1">
      <c r="A57" s="16">
        <v>34</v>
      </c>
      <c r="B57" s="310" t="b">
        <v>0</v>
      </c>
      <c r="C57" s="12" t="s">
        <v>42</v>
      </c>
      <c r="D57" s="18" t="s">
        <v>615</v>
      </c>
      <c r="E57" s="14" t="s">
        <v>154</v>
      </c>
      <c r="F57" s="26">
        <v>18</v>
      </c>
      <c r="G57" s="38">
        <v>4</v>
      </c>
      <c r="H57" s="40" t="s">
        <v>70</v>
      </c>
      <c r="I57" s="12"/>
      <c r="J57" s="12"/>
      <c r="K57" s="242"/>
      <c r="L57" s="245"/>
      <c r="M57" s="25"/>
      <c r="N57" s="31" t="s">
        <v>616</v>
      </c>
      <c r="O57" s="29"/>
      <c r="P57" s="29"/>
      <c r="Q57" s="30"/>
    </row>
    <row r="58" spans="1:17" ht="33.75" customHeight="1">
      <c r="A58" s="16">
        <v>34</v>
      </c>
      <c r="B58" s="310" t="b">
        <v>0</v>
      </c>
      <c r="C58" s="12" t="s">
        <v>42</v>
      </c>
      <c r="D58" s="18" t="s">
        <v>615</v>
      </c>
      <c r="E58" s="14" t="s">
        <v>154</v>
      </c>
      <c r="F58" s="26">
        <v>19</v>
      </c>
      <c r="G58" s="38">
        <v>4</v>
      </c>
      <c r="H58" s="40" t="s">
        <v>70</v>
      </c>
      <c r="I58" s="12"/>
      <c r="J58" s="12"/>
      <c r="K58" s="242"/>
      <c r="L58" s="245"/>
      <c r="M58" s="25"/>
      <c r="N58" s="31" t="s">
        <v>616</v>
      </c>
      <c r="O58" s="29"/>
      <c r="P58" s="29"/>
      <c r="Q58" s="30"/>
    </row>
    <row r="59" spans="1:17" ht="33.75" customHeight="1">
      <c r="A59" s="16">
        <v>35</v>
      </c>
      <c r="B59" s="310" t="b">
        <v>0</v>
      </c>
      <c r="C59" s="12"/>
      <c r="D59" s="198" t="s">
        <v>515</v>
      </c>
      <c r="E59" s="14" t="s">
        <v>247</v>
      </c>
      <c r="F59" s="40"/>
      <c r="G59" s="38"/>
      <c r="H59" s="40" t="s">
        <v>70</v>
      </c>
      <c r="I59" s="55"/>
      <c r="J59" s="55"/>
      <c r="K59" s="243"/>
      <c r="L59" s="246"/>
      <c r="M59" s="180"/>
      <c r="N59" s="160"/>
      <c r="O59" s="161"/>
      <c r="P59" s="161"/>
      <c r="Q59" s="162"/>
    </row>
    <row r="60" spans="1:17" ht="33.75" customHeight="1">
      <c r="A60" s="16">
        <v>36</v>
      </c>
      <c r="B60" s="310" t="b">
        <v>0</v>
      </c>
      <c r="C60" s="12"/>
      <c r="D60" s="198" t="s">
        <v>515</v>
      </c>
      <c r="E60" s="14" t="s">
        <v>151</v>
      </c>
      <c r="F60" s="40"/>
      <c r="G60" s="38"/>
      <c r="H60" s="40" t="s">
        <v>70</v>
      </c>
      <c r="I60" s="12"/>
      <c r="J60" s="12"/>
      <c r="K60" s="242"/>
      <c r="L60" s="245"/>
      <c r="M60" s="25"/>
      <c r="N60" s="28"/>
      <c r="O60" s="29"/>
      <c r="P60" s="29"/>
      <c r="Q60" s="30"/>
    </row>
    <row r="61" spans="1:17" ht="33.75" customHeight="1">
      <c r="A61" s="16">
        <v>37</v>
      </c>
      <c r="B61" s="310" t="b">
        <v>0</v>
      </c>
      <c r="C61" s="12"/>
      <c r="D61" s="18"/>
      <c r="E61" s="14" t="s">
        <v>214</v>
      </c>
      <c r="F61" s="40"/>
      <c r="G61" s="38"/>
      <c r="H61" s="40" t="s">
        <v>70</v>
      </c>
      <c r="I61" s="12"/>
      <c r="J61" s="12"/>
      <c r="K61" s="242"/>
      <c r="L61" s="245"/>
      <c r="M61" s="25"/>
      <c r="N61" s="28"/>
      <c r="O61" s="29"/>
      <c r="P61" s="29"/>
      <c r="Q61" s="30"/>
    </row>
    <row r="62" spans="1:17" ht="33.75" customHeight="1">
      <c r="A62" s="16">
        <v>38</v>
      </c>
      <c r="B62" s="310" t="b">
        <v>0</v>
      </c>
      <c r="C62" s="12"/>
      <c r="D62" s="18"/>
      <c r="E62" s="14" t="s">
        <v>244</v>
      </c>
      <c r="F62" s="40"/>
      <c r="G62" s="38"/>
      <c r="H62" s="40" t="s">
        <v>70</v>
      </c>
      <c r="I62" s="12"/>
      <c r="J62" s="12"/>
      <c r="K62" s="242"/>
      <c r="L62" s="245"/>
      <c r="M62" s="25"/>
      <c r="N62" s="28"/>
      <c r="O62" s="29"/>
      <c r="P62" s="29"/>
      <c r="Q62" s="30"/>
    </row>
    <row r="63" spans="1:17" ht="33.75" customHeight="1">
      <c r="A63" s="16">
        <v>39</v>
      </c>
      <c r="B63" s="310" t="b">
        <v>0</v>
      </c>
      <c r="C63" s="12"/>
      <c r="D63" s="198" t="s">
        <v>515</v>
      </c>
      <c r="E63" s="14" t="s">
        <v>243</v>
      </c>
      <c r="F63" s="40"/>
      <c r="G63" s="38"/>
      <c r="H63" s="40" t="s">
        <v>70</v>
      </c>
      <c r="I63" s="12"/>
      <c r="J63" s="12"/>
      <c r="K63" s="242"/>
      <c r="L63" s="245"/>
      <c r="M63" s="25"/>
      <c r="N63" s="28"/>
      <c r="O63" s="29"/>
      <c r="P63" s="29"/>
      <c r="Q63" s="30"/>
    </row>
    <row r="64" spans="1:17" ht="33.75" customHeight="1">
      <c r="A64" s="16">
        <v>40</v>
      </c>
      <c r="B64" s="310" t="b">
        <v>0</v>
      </c>
      <c r="C64" s="12"/>
      <c r="D64" s="18"/>
      <c r="E64" s="14" t="s">
        <v>219</v>
      </c>
      <c r="F64" s="40"/>
      <c r="G64" s="38"/>
      <c r="H64" s="40" t="s">
        <v>70</v>
      </c>
      <c r="I64" s="12"/>
      <c r="J64" s="12"/>
      <c r="K64" s="242"/>
      <c r="L64" s="245"/>
      <c r="M64" s="25"/>
      <c r="N64" s="28"/>
      <c r="O64" s="29"/>
      <c r="P64" s="29"/>
      <c r="Q64" s="30"/>
    </row>
    <row r="65" spans="1:17" ht="33.75" customHeight="1">
      <c r="A65" s="16">
        <v>41</v>
      </c>
      <c r="B65" s="310" t="b">
        <v>0</v>
      </c>
      <c r="C65" s="12"/>
      <c r="D65" s="198" t="s">
        <v>515</v>
      </c>
      <c r="E65" s="14" t="s">
        <v>152</v>
      </c>
      <c r="F65" s="40"/>
      <c r="G65" s="38"/>
      <c r="H65" s="40" t="s">
        <v>70</v>
      </c>
      <c r="I65" s="12"/>
      <c r="J65" s="12"/>
      <c r="K65" s="242"/>
      <c r="L65" s="245"/>
      <c r="M65" s="25"/>
      <c r="N65" s="28" t="s">
        <v>153</v>
      </c>
      <c r="O65" s="29"/>
      <c r="P65" s="29"/>
      <c r="Q65" s="30"/>
    </row>
    <row r="66" spans="1:17" ht="33.75" customHeight="1">
      <c r="A66" s="16">
        <v>42</v>
      </c>
      <c r="B66" s="310" t="b">
        <v>0</v>
      </c>
      <c r="C66" s="12"/>
      <c r="D66" s="198" t="s">
        <v>515</v>
      </c>
      <c r="E66" s="14" t="s">
        <v>246</v>
      </c>
      <c r="F66" s="26"/>
      <c r="G66" s="38"/>
      <c r="H66" s="26" t="s">
        <v>70</v>
      </c>
      <c r="I66" s="12"/>
      <c r="J66" s="12"/>
      <c r="K66" s="242"/>
      <c r="L66" s="245"/>
      <c r="M66" s="25"/>
      <c r="N66" s="28"/>
      <c r="O66" s="29"/>
      <c r="P66" s="29"/>
      <c r="Q66" s="30"/>
    </row>
    <row r="67" spans="1:17" ht="33.75" customHeight="1">
      <c r="A67" s="16">
        <v>43</v>
      </c>
      <c r="B67" s="310" t="b">
        <v>0</v>
      </c>
      <c r="C67" s="12"/>
      <c r="D67" s="198" t="s">
        <v>515</v>
      </c>
      <c r="E67" s="14" t="s">
        <v>210</v>
      </c>
      <c r="F67" s="26">
        <v>22</v>
      </c>
      <c r="G67" s="38">
        <v>4</v>
      </c>
      <c r="H67" s="26" t="s">
        <v>70</v>
      </c>
      <c r="I67" s="12"/>
      <c r="J67" s="12"/>
      <c r="K67" s="242"/>
      <c r="L67" s="245"/>
      <c r="M67" s="25"/>
      <c r="N67" s="28"/>
      <c r="O67" s="29"/>
      <c r="P67" s="29"/>
      <c r="Q67" s="30"/>
    </row>
    <row r="68" spans="1:17" ht="33.75" customHeight="1">
      <c r="A68" s="16">
        <v>44</v>
      </c>
      <c r="B68" s="310" t="b">
        <v>0</v>
      </c>
      <c r="C68" s="12"/>
      <c r="D68" s="198" t="s">
        <v>515</v>
      </c>
      <c r="E68" s="14" t="s">
        <v>476</v>
      </c>
      <c r="F68" s="26"/>
      <c r="G68" s="38">
        <v>1</v>
      </c>
      <c r="H68" s="26" t="s">
        <v>70</v>
      </c>
      <c r="I68" s="12"/>
      <c r="J68" s="12"/>
      <c r="K68" s="242"/>
      <c r="L68" s="245"/>
      <c r="M68" s="25"/>
      <c r="N68" s="28"/>
      <c r="O68" s="157"/>
      <c r="P68" s="157"/>
      <c r="Q68" s="158"/>
    </row>
    <row r="69" spans="1:17" ht="33.75" customHeight="1">
      <c r="A69" s="16">
        <v>45</v>
      </c>
      <c r="B69" s="310" t="b">
        <v>0</v>
      </c>
      <c r="C69" s="12"/>
      <c r="D69" s="198" t="s">
        <v>515</v>
      </c>
      <c r="E69" s="14" t="s">
        <v>209</v>
      </c>
      <c r="F69" s="26">
        <v>20</v>
      </c>
      <c r="G69" s="38">
        <v>2</v>
      </c>
      <c r="H69" s="26" t="s">
        <v>70</v>
      </c>
      <c r="I69" s="12"/>
      <c r="J69" s="12"/>
      <c r="K69" s="242"/>
      <c r="L69" s="245"/>
      <c r="M69" s="25"/>
      <c r="N69" s="28"/>
      <c r="O69" s="157"/>
      <c r="P69" s="157"/>
      <c r="Q69" s="158"/>
    </row>
    <row r="70" spans="1:17" ht="33.75" customHeight="1">
      <c r="A70" s="16">
        <v>45</v>
      </c>
      <c r="B70" s="310" t="b">
        <v>0</v>
      </c>
      <c r="C70" s="12"/>
      <c r="D70" s="198" t="s">
        <v>515</v>
      </c>
      <c r="E70" s="14" t="s">
        <v>209</v>
      </c>
      <c r="F70" s="26">
        <v>21</v>
      </c>
      <c r="G70" s="38">
        <v>2</v>
      </c>
      <c r="H70" s="26" t="s">
        <v>70</v>
      </c>
      <c r="I70" s="12"/>
      <c r="J70" s="12"/>
      <c r="K70" s="242"/>
      <c r="L70" s="245"/>
      <c r="M70" s="25"/>
      <c r="N70" s="28"/>
      <c r="O70" s="157"/>
      <c r="P70" s="157"/>
      <c r="Q70" s="158"/>
    </row>
    <row r="71" spans="1:17" ht="33.75" customHeight="1">
      <c r="A71" s="16">
        <v>46</v>
      </c>
      <c r="B71" s="310" t="b">
        <v>0</v>
      </c>
      <c r="C71" s="12" t="s">
        <v>39</v>
      </c>
      <c r="D71" s="163" t="s">
        <v>755</v>
      </c>
      <c r="E71" s="14" t="s">
        <v>222</v>
      </c>
      <c r="F71" s="26">
        <v>28</v>
      </c>
      <c r="G71" s="38">
        <v>1</v>
      </c>
      <c r="H71" s="26" t="s">
        <v>70</v>
      </c>
      <c r="I71" s="12"/>
      <c r="J71" s="12"/>
      <c r="K71" s="242"/>
      <c r="L71" s="245"/>
      <c r="M71" s="25"/>
      <c r="N71" s="31" t="s">
        <v>757</v>
      </c>
      <c r="O71" s="29"/>
      <c r="P71" s="29"/>
      <c r="Q71" s="30"/>
    </row>
    <row r="72" spans="1:17" ht="33.75" customHeight="1">
      <c r="A72" s="16">
        <v>47</v>
      </c>
      <c r="B72" s="310" t="b">
        <v>0</v>
      </c>
      <c r="C72" s="12" t="s">
        <v>39</v>
      </c>
      <c r="D72" s="163" t="s">
        <v>756</v>
      </c>
      <c r="E72" s="14" t="s">
        <v>221</v>
      </c>
      <c r="F72" s="26">
        <v>28</v>
      </c>
      <c r="G72" s="38">
        <v>1</v>
      </c>
      <c r="H72" s="26" t="s">
        <v>70</v>
      </c>
      <c r="I72" s="12"/>
      <c r="J72" s="12"/>
      <c r="K72" s="242"/>
      <c r="L72" s="245"/>
      <c r="M72" s="25"/>
      <c r="N72" s="28" t="s">
        <v>62</v>
      </c>
      <c r="O72" s="29"/>
      <c r="P72" s="29"/>
      <c r="Q72" s="30"/>
    </row>
    <row r="73" spans="1:17" ht="33.75" customHeight="1">
      <c r="A73" s="16">
        <v>46</v>
      </c>
      <c r="B73" s="310" t="b">
        <v>0</v>
      </c>
      <c r="C73" s="12" t="s">
        <v>39</v>
      </c>
      <c r="D73" s="163" t="s">
        <v>755</v>
      </c>
      <c r="E73" s="14" t="s">
        <v>222</v>
      </c>
      <c r="F73" s="26">
        <v>29</v>
      </c>
      <c r="G73" s="38">
        <v>1</v>
      </c>
      <c r="H73" s="26" t="s">
        <v>70</v>
      </c>
      <c r="I73" s="12"/>
      <c r="J73" s="12"/>
      <c r="K73" s="242"/>
      <c r="L73" s="245"/>
      <c r="M73" s="25"/>
      <c r="N73" s="31" t="s">
        <v>757</v>
      </c>
      <c r="O73" s="29"/>
      <c r="P73" s="29"/>
      <c r="Q73" s="30"/>
    </row>
    <row r="74" spans="1:17" ht="33.75" customHeight="1">
      <c r="A74" s="16">
        <v>47</v>
      </c>
      <c r="B74" s="310" t="b">
        <v>0</v>
      </c>
      <c r="C74" s="12" t="s">
        <v>39</v>
      </c>
      <c r="D74" s="163" t="s">
        <v>756</v>
      </c>
      <c r="E74" s="14" t="s">
        <v>221</v>
      </c>
      <c r="F74" s="26">
        <v>29</v>
      </c>
      <c r="G74" s="38">
        <v>1</v>
      </c>
      <c r="H74" s="26" t="s">
        <v>70</v>
      </c>
      <c r="I74" s="12"/>
      <c r="J74" s="12"/>
      <c r="K74" s="242"/>
      <c r="L74" s="245"/>
      <c r="M74" s="25"/>
      <c r="N74" s="28" t="s">
        <v>62</v>
      </c>
      <c r="O74" s="29"/>
      <c r="P74" s="29"/>
      <c r="Q74" s="30"/>
    </row>
    <row r="75" spans="1:17" ht="33.75" customHeight="1">
      <c r="A75" s="16">
        <v>46</v>
      </c>
      <c r="B75" s="310" t="b">
        <v>0</v>
      </c>
      <c r="C75" s="12" t="s">
        <v>39</v>
      </c>
      <c r="D75" s="163" t="s">
        <v>755</v>
      </c>
      <c r="E75" s="14" t="s">
        <v>222</v>
      </c>
      <c r="F75" s="26">
        <v>30</v>
      </c>
      <c r="G75" s="38">
        <v>1</v>
      </c>
      <c r="H75" s="26" t="s">
        <v>70</v>
      </c>
      <c r="I75" s="12"/>
      <c r="J75" s="12"/>
      <c r="K75" s="242"/>
      <c r="L75" s="245"/>
      <c r="M75" s="25"/>
      <c r="N75" s="31" t="s">
        <v>757</v>
      </c>
      <c r="O75" s="29"/>
      <c r="P75" s="29"/>
      <c r="Q75" s="30"/>
    </row>
    <row r="76" spans="1:17" ht="33.75" customHeight="1">
      <c r="A76" s="16">
        <v>47</v>
      </c>
      <c r="B76" s="310" t="b">
        <v>0</v>
      </c>
      <c r="C76" s="12" t="s">
        <v>39</v>
      </c>
      <c r="D76" s="163" t="s">
        <v>756</v>
      </c>
      <c r="E76" s="14" t="s">
        <v>221</v>
      </c>
      <c r="F76" s="26">
        <v>30</v>
      </c>
      <c r="G76" s="38">
        <v>1</v>
      </c>
      <c r="H76" s="26" t="s">
        <v>70</v>
      </c>
      <c r="I76" s="12"/>
      <c r="J76" s="12"/>
      <c r="K76" s="242"/>
      <c r="L76" s="245"/>
      <c r="M76" s="25"/>
      <c r="N76" s="28" t="s">
        <v>62</v>
      </c>
      <c r="O76" s="29"/>
      <c r="P76" s="29"/>
      <c r="Q76" s="30"/>
    </row>
    <row r="77" spans="1:17" ht="33.75" customHeight="1">
      <c r="A77" s="16">
        <v>48</v>
      </c>
      <c r="B77" s="310" t="b">
        <v>0</v>
      </c>
      <c r="C77" s="12" t="s">
        <v>52</v>
      </c>
      <c r="D77" s="163" t="s">
        <v>758</v>
      </c>
      <c r="E77" s="14" t="s">
        <v>436</v>
      </c>
      <c r="F77" s="26">
        <v>31</v>
      </c>
      <c r="G77" s="38">
        <v>1</v>
      </c>
      <c r="H77" s="26" t="s">
        <v>70</v>
      </c>
      <c r="I77" s="12"/>
      <c r="J77" s="12"/>
      <c r="K77" s="242"/>
      <c r="L77" s="245"/>
      <c r="M77" s="25"/>
      <c r="N77" s="31" t="s">
        <v>763</v>
      </c>
      <c r="O77" s="29"/>
      <c r="P77" s="29"/>
      <c r="Q77" s="30"/>
    </row>
    <row r="78" spans="1:17" ht="33.75" customHeight="1">
      <c r="A78" s="16">
        <v>49</v>
      </c>
      <c r="B78" s="310" t="b">
        <v>0</v>
      </c>
      <c r="C78" s="12" t="s">
        <v>52</v>
      </c>
      <c r="D78" s="163" t="s">
        <v>759</v>
      </c>
      <c r="E78" s="14" t="s">
        <v>350</v>
      </c>
      <c r="F78" s="26">
        <v>31</v>
      </c>
      <c r="G78" s="38">
        <v>1</v>
      </c>
      <c r="H78" s="26" t="s">
        <v>70</v>
      </c>
      <c r="I78" s="12"/>
      <c r="J78" s="12"/>
      <c r="K78" s="242"/>
      <c r="L78" s="245"/>
      <c r="M78" s="25"/>
      <c r="N78" s="28"/>
      <c r="O78" s="29"/>
      <c r="P78" s="29"/>
      <c r="Q78" s="30"/>
    </row>
    <row r="79" spans="1:17" ht="33.75" customHeight="1">
      <c r="A79" s="16">
        <v>50</v>
      </c>
      <c r="B79" s="310" t="b">
        <v>0</v>
      </c>
      <c r="C79" s="12" t="s">
        <v>421</v>
      </c>
      <c r="D79" s="163" t="s">
        <v>760</v>
      </c>
      <c r="E79" s="14" t="s">
        <v>223</v>
      </c>
      <c r="F79" s="26">
        <v>32</v>
      </c>
      <c r="G79" s="38">
        <v>1</v>
      </c>
      <c r="H79" s="26" t="s">
        <v>70</v>
      </c>
      <c r="I79" s="12"/>
      <c r="J79" s="12"/>
      <c r="K79" s="242"/>
      <c r="L79" s="245"/>
      <c r="M79" s="25"/>
      <c r="N79" s="31" t="s">
        <v>762</v>
      </c>
      <c r="O79" s="29"/>
      <c r="P79" s="29"/>
      <c r="Q79" s="30"/>
    </row>
    <row r="80" spans="1:17" ht="33.75" customHeight="1">
      <c r="A80" s="16">
        <v>51</v>
      </c>
      <c r="B80" s="310" t="b">
        <v>0</v>
      </c>
      <c r="C80" s="12" t="s">
        <v>421</v>
      </c>
      <c r="D80" s="163" t="s">
        <v>761</v>
      </c>
      <c r="E80" s="14" t="s">
        <v>224</v>
      </c>
      <c r="F80" s="26">
        <v>32</v>
      </c>
      <c r="G80" s="38">
        <v>1</v>
      </c>
      <c r="H80" s="26" t="s">
        <v>70</v>
      </c>
      <c r="I80" s="12"/>
      <c r="J80" s="12"/>
      <c r="K80" s="242"/>
      <c r="L80" s="245"/>
      <c r="M80" s="25"/>
      <c r="N80" s="28"/>
      <c r="O80" s="29"/>
      <c r="P80" s="29"/>
      <c r="Q80" s="30"/>
    </row>
    <row r="81" spans="1:17" ht="33.75" customHeight="1">
      <c r="A81" s="16">
        <v>50</v>
      </c>
      <c r="B81" s="310" t="b">
        <v>0</v>
      </c>
      <c r="C81" s="12" t="s">
        <v>421</v>
      </c>
      <c r="D81" s="163" t="s">
        <v>760</v>
      </c>
      <c r="E81" s="14" t="s">
        <v>223</v>
      </c>
      <c r="F81" s="26">
        <v>33</v>
      </c>
      <c r="G81" s="38">
        <v>1</v>
      </c>
      <c r="H81" s="26" t="s">
        <v>70</v>
      </c>
      <c r="I81" s="12"/>
      <c r="J81" s="12"/>
      <c r="K81" s="242"/>
      <c r="L81" s="245"/>
      <c r="M81" s="25"/>
      <c r="N81" s="31" t="s">
        <v>762</v>
      </c>
      <c r="O81" s="29"/>
      <c r="P81" s="29"/>
      <c r="Q81" s="30"/>
    </row>
    <row r="82" spans="1:17" ht="33.75" customHeight="1">
      <c r="A82" s="16">
        <v>51</v>
      </c>
      <c r="B82" s="310" t="b">
        <v>0</v>
      </c>
      <c r="C82" s="12" t="s">
        <v>421</v>
      </c>
      <c r="D82" s="163" t="s">
        <v>761</v>
      </c>
      <c r="E82" s="14" t="s">
        <v>224</v>
      </c>
      <c r="F82" s="26">
        <v>33</v>
      </c>
      <c r="G82" s="38">
        <v>1</v>
      </c>
      <c r="H82" s="26" t="s">
        <v>70</v>
      </c>
      <c r="I82" s="12"/>
      <c r="J82" s="12"/>
      <c r="K82" s="242"/>
      <c r="L82" s="245"/>
      <c r="M82" s="25"/>
      <c r="N82" s="28"/>
      <c r="O82" s="29"/>
      <c r="P82" s="29"/>
      <c r="Q82" s="30"/>
    </row>
    <row r="83" spans="1:17" ht="33.75" customHeight="1">
      <c r="A83" s="16">
        <v>50</v>
      </c>
      <c r="B83" s="310" t="b">
        <v>0</v>
      </c>
      <c r="C83" s="12" t="s">
        <v>421</v>
      </c>
      <c r="D83" s="163" t="s">
        <v>760</v>
      </c>
      <c r="E83" s="14" t="s">
        <v>223</v>
      </c>
      <c r="F83" s="26">
        <v>34</v>
      </c>
      <c r="G83" s="38">
        <v>1</v>
      </c>
      <c r="H83" s="26" t="s">
        <v>70</v>
      </c>
      <c r="I83" s="12"/>
      <c r="J83" s="12"/>
      <c r="K83" s="242"/>
      <c r="L83" s="245"/>
      <c r="M83" s="25"/>
      <c r="N83" s="31" t="s">
        <v>762</v>
      </c>
      <c r="O83" s="29"/>
      <c r="P83" s="29"/>
      <c r="Q83" s="30"/>
    </row>
    <row r="84" spans="1:17" ht="33.75" customHeight="1">
      <c r="A84" s="16">
        <v>51</v>
      </c>
      <c r="B84" s="310" t="b">
        <v>0</v>
      </c>
      <c r="C84" s="12" t="s">
        <v>421</v>
      </c>
      <c r="D84" s="163" t="s">
        <v>761</v>
      </c>
      <c r="E84" s="14" t="s">
        <v>224</v>
      </c>
      <c r="F84" s="26">
        <v>34</v>
      </c>
      <c r="G84" s="38">
        <v>1</v>
      </c>
      <c r="H84" s="26" t="s">
        <v>70</v>
      </c>
      <c r="I84" s="12"/>
      <c r="J84" s="12"/>
      <c r="K84" s="242"/>
      <c r="L84" s="245"/>
      <c r="M84" s="25"/>
      <c r="N84" s="28"/>
      <c r="O84" s="29"/>
      <c r="P84" s="29"/>
      <c r="Q84" s="30"/>
    </row>
    <row r="85" spans="1:17" ht="33.75" customHeight="1">
      <c r="A85" s="16">
        <v>48</v>
      </c>
      <c r="B85" s="310" t="b">
        <v>0</v>
      </c>
      <c r="C85" s="12" t="s">
        <v>52</v>
      </c>
      <c r="D85" s="163" t="s">
        <v>765</v>
      </c>
      <c r="E85" s="14" t="s">
        <v>764</v>
      </c>
      <c r="F85" s="26">
        <v>35</v>
      </c>
      <c r="G85" s="38">
        <v>1</v>
      </c>
      <c r="H85" s="26" t="s">
        <v>70</v>
      </c>
      <c r="I85" s="12"/>
      <c r="J85" s="12"/>
      <c r="K85" s="242"/>
      <c r="L85" s="245"/>
      <c r="M85" s="25"/>
      <c r="N85" s="31" t="s">
        <v>767</v>
      </c>
      <c r="O85" s="29"/>
      <c r="P85" s="29"/>
      <c r="Q85" s="30"/>
    </row>
    <row r="86" spans="1:17" ht="33.75" customHeight="1">
      <c r="A86" s="16">
        <v>49</v>
      </c>
      <c r="B86" s="310" t="b">
        <v>0</v>
      </c>
      <c r="C86" s="12" t="s">
        <v>52</v>
      </c>
      <c r="D86" s="163" t="s">
        <v>766</v>
      </c>
      <c r="E86" s="14" t="s">
        <v>350</v>
      </c>
      <c r="F86" s="26">
        <v>35</v>
      </c>
      <c r="G86" s="38">
        <v>1</v>
      </c>
      <c r="H86" s="26" t="s">
        <v>70</v>
      </c>
      <c r="I86" s="12"/>
      <c r="J86" s="12"/>
      <c r="K86" s="242"/>
      <c r="L86" s="245"/>
      <c r="M86" s="25"/>
      <c r="N86" s="28"/>
      <c r="O86" s="29"/>
      <c r="P86" s="29"/>
      <c r="Q86" s="30"/>
    </row>
    <row r="87" spans="1:17" ht="33.75" customHeight="1">
      <c r="A87" s="16">
        <v>52</v>
      </c>
      <c r="B87" s="310" t="b">
        <v>0</v>
      </c>
      <c r="C87" s="12"/>
      <c r="D87" s="163" t="s">
        <v>750</v>
      </c>
      <c r="E87" s="14" t="s">
        <v>220</v>
      </c>
      <c r="F87" s="26">
        <v>36</v>
      </c>
      <c r="G87" s="38">
        <v>1</v>
      </c>
      <c r="H87" s="26" t="s">
        <v>70</v>
      </c>
      <c r="I87" s="12"/>
      <c r="J87" s="12"/>
      <c r="K87" s="242"/>
      <c r="L87" s="245"/>
      <c r="M87" s="25"/>
      <c r="N87" s="31" t="s">
        <v>768</v>
      </c>
      <c r="O87" s="29"/>
      <c r="P87" s="29"/>
      <c r="Q87" s="30"/>
    </row>
    <row r="88" spans="1:17" ht="33.75" customHeight="1">
      <c r="A88" s="16">
        <v>53</v>
      </c>
      <c r="B88" s="310" t="b">
        <v>0</v>
      </c>
      <c r="C88" s="12"/>
      <c r="D88" s="163" t="s">
        <v>751</v>
      </c>
      <c r="E88" s="14" t="s">
        <v>221</v>
      </c>
      <c r="F88" s="26">
        <v>36</v>
      </c>
      <c r="G88" s="38">
        <v>1</v>
      </c>
      <c r="H88" s="26" t="s">
        <v>70</v>
      </c>
      <c r="I88" s="12"/>
      <c r="J88" s="12"/>
      <c r="K88" s="242"/>
      <c r="L88" s="245"/>
      <c r="M88" s="25"/>
      <c r="N88" s="28"/>
      <c r="O88" s="29"/>
      <c r="P88" s="29"/>
      <c r="Q88" s="30"/>
    </row>
    <row r="89" spans="1:17" ht="33.75" customHeight="1">
      <c r="A89" s="16">
        <v>52</v>
      </c>
      <c r="B89" s="310" t="b">
        <v>0</v>
      </c>
      <c r="C89" s="12"/>
      <c r="D89" s="163" t="s">
        <v>750</v>
      </c>
      <c r="E89" s="14" t="s">
        <v>220</v>
      </c>
      <c r="F89" s="26">
        <v>37</v>
      </c>
      <c r="G89" s="38">
        <v>1</v>
      </c>
      <c r="H89" s="26" t="s">
        <v>70</v>
      </c>
      <c r="I89" s="12"/>
      <c r="J89" s="12"/>
      <c r="K89" s="242"/>
      <c r="L89" s="245"/>
      <c r="M89" s="25"/>
      <c r="N89" s="31" t="s">
        <v>768</v>
      </c>
      <c r="O89" s="29"/>
      <c r="P89" s="29"/>
      <c r="Q89" s="30"/>
    </row>
    <row r="90" spans="1:17" ht="33.75" customHeight="1">
      <c r="A90" s="16">
        <v>53</v>
      </c>
      <c r="B90" s="310" t="b">
        <v>0</v>
      </c>
      <c r="C90" s="12"/>
      <c r="D90" s="163" t="s">
        <v>751</v>
      </c>
      <c r="E90" s="14" t="s">
        <v>221</v>
      </c>
      <c r="F90" s="26">
        <v>37</v>
      </c>
      <c r="G90" s="38">
        <v>1</v>
      </c>
      <c r="H90" s="26" t="s">
        <v>70</v>
      </c>
      <c r="I90" s="12"/>
      <c r="J90" s="12"/>
      <c r="K90" s="242"/>
      <c r="L90" s="245"/>
      <c r="M90" s="25"/>
      <c r="N90" s="28"/>
      <c r="O90" s="29"/>
      <c r="P90" s="29"/>
      <c r="Q90" s="30"/>
    </row>
    <row r="91" spans="1:17" ht="33.75" customHeight="1">
      <c r="A91" s="16">
        <v>52</v>
      </c>
      <c r="B91" s="310" t="b">
        <v>0</v>
      </c>
      <c r="C91" s="12"/>
      <c r="D91" s="163" t="s">
        <v>750</v>
      </c>
      <c r="E91" s="14" t="s">
        <v>220</v>
      </c>
      <c r="F91" s="26">
        <v>38</v>
      </c>
      <c r="G91" s="38">
        <v>1</v>
      </c>
      <c r="H91" s="26" t="s">
        <v>70</v>
      </c>
      <c r="I91" s="12"/>
      <c r="J91" s="12"/>
      <c r="K91" s="242"/>
      <c r="L91" s="245"/>
      <c r="M91" s="25"/>
      <c r="N91" s="31" t="s">
        <v>768</v>
      </c>
      <c r="O91" s="29"/>
      <c r="P91" s="29"/>
      <c r="Q91" s="30"/>
    </row>
    <row r="92" spans="1:17" ht="33.75" customHeight="1">
      <c r="A92" s="16">
        <v>53</v>
      </c>
      <c r="B92" s="310" t="b">
        <v>0</v>
      </c>
      <c r="C92" s="12"/>
      <c r="D92" s="163" t="s">
        <v>751</v>
      </c>
      <c r="E92" s="14" t="s">
        <v>221</v>
      </c>
      <c r="F92" s="26">
        <v>38</v>
      </c>
      <c r="G92" s="38">
        <v>1</v>
      </c>
      <c r="H92" s="26" t="s">
        <v>70</v>
      </c>
      <c r="I92" s="12"/>
      <c r="J92" s="12"/>
      <c r="K92" s="242"/>
      <c r="L92" s="245"/>
      <c r="M92" s="25"/>
      <c r="N92" s="28"/>
      <c r="O92" s="29"/>
      <c r="P92" s="29"/>
      <c r="Q92" s="30"/>
    </row>
    <row r="93" spans="1:17" ht="33.75" customHeight="1">
      <c r="A93" s="16">
        <v>52</v>
      </c>
      <c r="B93" s="310" t="b">
        <v>0</v>
      </c>
      <c r="C93" s="12"/>
      <c r="D93" s="163" t="s">
        <v>750</v>
      </c>
      <c r="E93" s="14" t="s">
        <v>220</v>
      </c>
      <c r="F93" s="26">
        <v>39</v>
      </c>
      <c r="G93" s="38">
        <v>1</v>
      </c>
      <c r="H93" s="26" t="s">
        <v>70</v>
      </c>
      <c r="I93" s="12"/>
      <c r="J93" s="12"/>
      <c r="K93" s="242"/>
      <c r="L93" s="245"/>
      <c r="M93" s="25"/>
      <c r="N93" s="31" t="s">
        <v>768</v>
      </c>
      <c r="O93" s="29"/>
      <c r="P93" s="29"/>
      <c r="Q93" s="30"/>
    </row>
    <row r="94" spans="1:17" ht="33.75" customHeight="1">
      <c r="A94" s="16">
        <v>53</v>
      </c>
      <c r="B94" s="310" t="b">
        <v>0</v>
      </c>
      <c r="C94" s="12"/>
      <c r="D94" s="163" t="s">
        <v>751</v>
      </c>
      <c r="E94" s="14" t="s">
        <v>221</v>
      </c>
      <c r="F94" s="26">
        <v>39</v>
      </c>
      <c r="G94" s="38">
        <v>1</v>
      </c>
      <c r="H94" s="26" t="s">
        <v>70</v>
      </c>
      <c r="I94" s="12"/>
      <c r="J94" s="12"/>
      <c r="K94" s="242"/>
      <c r="L94" s="245"/>
      <c r="M94" s="25"/>
      <c r="N94" s="28"/>
      <c r="O94" s="29"/>
      <c r="P94" s="29"/>
      <c r="Q94" s="30"/>
    </row>
    <row r="95" spans="1:17" ht="33.75" customHeight="1">
      <c r="A95" s="16">
        <v>54</v>
      </c>
      <c r="B95" s="310" t="b">
        <v>0</v>
      </c>
      <c r="C95" s="12"/>
      <c r="D95" s="198" t="s">
        <v>515</v>
      </c>
      <c r="E95" s="14" t="s">
        <v>155</v>
      </c>
      <c r="F95" s="40"/>
      <c r="G95" s="38"/>
      <c r="H95" s="40" t="s">
        <v>70</v>
      </c>
      <c r="I95" s="12"/>
      <c r="J95" s="12"/>
      <c r="K95" s="242"/>
      <c r="L95" s="245"/>
      <c r="M95" s="25"/>
      <c r="N95" s="28"/>
      <c r="O95" s="29"/>
      <c r="P95" s="29"/>
      <c r="Q95" s="30"/>
    </row>
    <row r="96" spans="1:17" ht="33.75" customHeight="1">
      <c r="A96" s="16">
        <v>55</v>
      </c>
      <c r="B96" s="310" t="b">
        <v>0</v>
      </c>
      <c r="C96" s="12"/>
      <c r="D96" s="198" t="s">
        <v>515</v>
      </c>
      <c r="E96" s="14" t="s">
        <v>215</v>
      </c>
      <c r="F96" s="40"/>
      <c r="G96" s="38"/>
      <c r="H96" s="40" t="s">
        <v>70</v>
      </c>
      <c r="I96" s="12"/>
      <c r="J96" s="12"/>
      <c r="K96" s="242"/>
      <c r="L96" s="245"/>
      <c r="M96" s="25"/>
      <c r="N96" s="28"/>
      <c r="O96" s="29"/>
      <c r="P96" s="29"/>
      <c r="Q96" s="30"/>
    </row>
    <row r="97" spans="1:17" ht="33.75" customHeight="1">
      <c r="A97" s="16">
        <v>56</v>
      </c>
      <c r="B97" s="310" t="b">
        <v>0</v>
      </c>
      <c r="C97" s="12"/>
      <c r="D97" s="198" t="s">
        <v>515</v>
      </c>
      <c r="E97" s="14" t="s">
        <v>216</v>
      </c>
      <c r="F97" s="40"/>
      <c r="G97" s="38"/>
      <c r="H97" s="40" t="s">
        <v>70</v>
      </c>
      <c r="I97" s="12"/>
      <c r="J97" s="12"/>
      <c r="K97" s="242"/>
      <c r="L97" s="245"/>
      <c r="M97" s="25"/>
      <c r="N97" s="28"/>
      <c r="O97" s="29"/>
      <c r="P97" s="29"/>
      <c r="Q97" s="30"/>
    </row>
    <row r="98" spans="1:17" ht="33.75" customHeight="1">
      <c r="A98" s="16">
        <v>57</v>
      </c>
      <c r="B98" s="310" t="b">
        <v>0</v>
      </c>
      <c r="C98" s="12"/>
      <c r="D98" s="198" t="s">
        <v>515</v>
      </c>
      <c r="E98" s="14" t="s">
        <v>216</v>
      </c>
      <c r="F98" s="40"/>
      <c r="G98" s="38"/>
      <c r="H98" s="40" t="s">
        <v>70</v>
      </c>
      <c r="I98" s="12"/>
      <c r="J98" s="12"/>
      <c r="K98" s="242"/>
      <c r="L98" s="245"/>
      <c r="M98" s="25"/>
      <c r="N98" s="28"/>
      <c r="O98" s="29"/>
      <c r="P98" s="29"/>
      <c r="Q98" s="30"/>
    </row>
    <row r="99" spans="1:17" ht="33.75" customHeight="1">
      <c r="A99" s="16">
        <v>58</v>
      </c>
      <c r="B99" s="310" t="b">
        <v>0</v>
      </c>
      <c r="C99" s="12"/>
      <c r="D99" s="198" t="s">
        <v>515</v>
      </c>
      <c r="E99" s="14" t="s">
        <v>217</v>
      </c>
      <c r="F99" s="40"/>
      <c r="G99" s="38"/>
      <c r="H99" s="40" t="s">
        <v>70</v>
      </c>
      <c r="I99" s="12"/>
      <c r="J99" s="12"/>
      <c r="K99" s="242"/>
      <c r="L99" s="245"/>
      <c r="M99" s="25"/>
      <c r="N99" s="28"/>
      <c r="O99" s="29"/>
      <c r="P99" s="29"/>
      <c r="Q99" s="30"/>
    </row>
    <row r="100" spans="1:17" ht="33.75" customHeight="1">
      <c r="A100" s="16">
        <v>59</v>
      </c>
      <c r="B100" s="310" t="b">
        <v>0</v>
      </c>
      <c r="C100" s="12"/>
      <c r="D100" s="198" t="s">
        <v>515</v>
      </c>
      <c r="E100" s="14" t="s">
        <v>218</v>
      </c>
      <c r="F100" s="40"/>
      <c r="G100" s="38"/>
      <c r="H100" s="40" t="s">
        <v>70</v>
      </c>
      <c r="I100" s="12"/>
      <c r="J100" s="12"/>
      <c r="K100" s="242"/>
      <c r="L100" s="245"/>
      <c r="M100" s="25"/>
      <c r="N100" s="28"/>
      <c r="O100" s="29"/>
      <c r="P100" s="29"/>
      <c r="Q100" s="30"/>
    </row>
    <row r="101" spans="1:17" ht="33.75" customHeight="1">
      <c r="A101" s="16">
        <v>60</v>
      </c>
      <c r="B101" s="310" t="b">
        <v>0</v>
      </c>
      <c r="C101" s="12"/>
      <c r="D101" s="198" t="s">
        <v>515</v>
      </c>
      <c r="E101" s="154" t="s">
        <v>517</v>
      </c>
      <c r="F101" s="27"/>
      <c r="G101" s="38"/>
      <c r="H101" s="40" t="s">
        <v>70</v>
      </c>
      <c r="I101" s="12"/>
      <c r="J101" s="12"/>
      <c r="K101" s="242"/>
      <c r="L101" s="245"/>
      <c r="M101" s="25"/>
      <c r="N101" s="28"/>
      <c r="O101" s="29"/>
      <c r="P101" s="29"/>
      <c r="Q101" s="30"/>
    </row>
    <row r="102" spans="1:17" ht="33.75" customHeight="1">
      <c r="A102" s="16">
        <v>61</v>
      </c>
      <c r="B102" s="310" t="b">
        <v>0</v>
      </c>
      <c r="C102" s="12"/>
      <c r="D102" s="198" t="s">
        <v>515</v>
      </c>
      <c r="E102" s="14" t="s">
        <v>156</v>
      </c>
      <c r="F102" s="40"/>
      <c r="G102" s="38"/>
      <c r="H102" s="40" t="s">
        <v>70</v>
      </c>
      <c r="I102" s="12"/>
      <c r="J102" s="12"/>
      <c r="K102" s="242"/>
      <c r="L102" s="245"/>
      <c r="M102" s="25"/>
      <c r="N102" s="28" t="s">
        <v>62</v>
      </c>
      <c r="O102" s="29"/>
      <c r="P102" s="29"/>
      <c r="Q102" s="30"/>
    </row>
    <row r="103" spans="1:17" ht="33.75" customHeight="1">
      <c r="A103" s="16">
        <v>62</v>
      </c>
      <c r="B103" s="310" t="b">
        <v>0</v>
      </c>
      <c r="C103" s="12"/>
      <c r="D103" s="198" t="s">
        <v>515</v>
      </c>
      <c r="E103" s="14" t="s">
        <v>371</v>
      </c>
      <c r="F103" s="40"/>
      <c r="G103" s="38"/>
      <c r="H103" s="40" t="s">
        <v>70</v>
      </c>
      <c r="I103" s="12"/>
      <c r="J103" s="12"/>
      <c r="K103" s="242"/>
      <c r="L103" s="245"/>
      <c r="M103" s="25"/>
      <c r="N103" s="28" t="s">
        <v>62</v>
      </c>
      <c r="O103" s="29"/>
      <c r="P103" s="29"/>
      <c r="Q103" s="30"/>
    </row>
    <row r="104" spans="1:17" ht="33.75" customHeight="1">
      <c r="A104" s="16">
        <v>63</v>
      </c>
      <c r="B104" s="310" t="b">
        <v>0</v>
      </c>
      <c r="C104" s="12"/>
      <c r="D104" s="198" t="s">
        <v>515</v>
      </c>
      <c r="E104" s="14" t="s">
        <v>157</v>
      </c>
      <c r="F104" s="40"/>
      <c r="G104" s="38"/>
      <c r="H104" s="40" t="s">
        <v>70</v>
      </c>
      <c r="I104" s="12"/>
      <c r="J104" s="12"/>
      <c r="K104" s="242"/>
      <c r="L104" s="245"/>
      <c r="M104" s="25"/>
      <c r="N104" s="28"/>
      <c r="O104" s="29"/>
      <c r="P104" s="29"/>
      <c r="Q104" s="30"/>
    </row>
    <row r="105" spans="1:17" ht="33.75" customHeight="1">
      <c r="A105" s="16">
        <v>64</v>
      </c>
      <c r="B105" s="310" t="b">
        <v>0</v>
      </c>
      <c r="C105" s="39"/>
      <c r="D105" s="198" t="s">
        <v>515</v>
      </c>
      <c r="E105" s="14" t="s">
        <v>212</v>
      </c>
      <c r="F105" s="26"/>
      <c r="G105" s="38"/>
      <c r="H105" s="26" t="s">
        <v>70</v>
      </c>
      <c r="I105" s="12"/>
      <c r="J105" s="12"/>
      <c r="K105" s="242"/>
      <c r="L105" s="245"/>
      <c r="M105" s="25"/>
      <c r="N105" s="28"/>
      <c r="O105" s="29"/>
      <c r="P105" s="29"/>
      <c r="Q105" s="30"/>
    </row>
    <row r="106" spans="1:17" ht="33.75" customHeight="1">
      <c r="A106" s="16">
        <v>65</v>
      </c>
      <c r="B106" s="310" t="b">
        <v>0</v>
      </c>
      <c r="C106" s="39"/>
      <c r="D106" s="198" t="s">
        <v>515</v>
      </c>
      <c r="E106" s="14" t="s">
        <v>240</v>
      </c>
      <c r="F106" s="26"/>
      <c r="G106" s="38"/>
      <c r="H106" s="26" t="s">
        <v>70</v>
      </c>
      <c r="I106" s="12"/>
      <c r="J106" s="12"/>
      <c r="K106" s="242"/>
      <c r="L106" s="245"/>
      <c r="M106" s="25"/>
      <c r="N106" s="28"/>
      <c r="O106" s="29"/>
      <c r="P106" s="29"/>
      <c r="Q106" s="30"/>
    </row>
    <row r="107" spans="1:17" ht="33.75" customHeight="1">
      <c r="A107" s="16">
        <v>66</v>
      </c>
      <c r="B107" s="310" t="b">
        <v>0</v>
      </c>
      <c r="C107" s="12" t="s">
        <v>27</v>
      </c>
      <c r="D107" s="198" t="s">
        <v>515</v>
      </c>
      <c r="E107" s="14" t="s">
        <v>158</v>
      </c>
      <c r="F107" s="26">
        <v>25</v>
      </c>
      <c r="G107" s="38">
        <v>1</v>
      </c>
      <c r="H107" s="26" t="s">
        <v>70</v>
      </c>
      <c r="I107" s="12"/>
      <c r="J107" s="12"/>
      <c r="K107" s="242"/>
      <c r="L107" s="245" t="s">
        <v>621</v>
      </c>
      <c r="M107" s="25">
        <v>4</v>
      </c>
      <c r="N107" s="28"/>
      <c r="O107" s="29"/>
      <c r="P107" s="29"/>
      <c r="Q107" s="30"/>
    </row>
    <row r="108" spans="1:17" ht="33.75" customHeight="1">
      <c r="A108" s="16">
        <v>67</v>
      </c>
      <c r="B108" s="310" t="b">
        <v>0</v>
      </c>
      <c r="C108" s="312" t="s">
        <v>622</v>
      </c>
      <c r="D108" s="198" t="s">
        <v>515</v>
      </c>
      <c r="E108" s="14" t="s">
        <v>213</v>
      </c>
      <c r="F108" s="26">
        <v>25</v>
      </c>
      <c r="G108" s="38">
        <v>2</v>
      </c>
      <c r="H108" s="40" t="s">
        <v>70</v>
      </c>
      <c r="I108" s="12"/>
      <c r="J108" s="12"/>
      <c r="K108" s="242"/>
      <c r="L108" s="245"/>
      <c r="M108" s="25">
        <v>13</v>
      </c>
      <c r="N108" s="28" t="s">
        <v>397</v>
      </c>
      <c r="O108" s="29"/>
      <c r="P108" s="29"/>
      <c r="Q108" s="30"/>
    </row>
    <row r="109" spans="1:17" ht="33.75" customHeight="1">
      <c r="A109" s="16">
        <v>68</v>
      </c>
      <c r="B109" s="310" t="b">
        <v>0</v>
      </c>
      <c r="C109" s="55"/>
      <c r="D109" s="198" t="s">
        <v>515</v>
      </c>
      <c r="E109" s="14" t="s">
        <v>213</v>
      </c>
      <c r="F109" s="26">
        <v>25</v>
      </c>
      <c r="G109" s="38">
        <v>2</v>
      </c>
      <c r="H109" s="40" t="s">
        <v>70</v>
      </c>
      <c r="I109" s="12"/>
      <c r="J109" s="12"/>
      <c r="K109" s="242"/>
      <c r="L109" s="245" t="s">
        <v>638</v>
      </c>
      <c r="M109" s="25">
        <v>10</v>
      </c>
      <c r="N109" s="28" t="s">
        <v>248</v>
      </c>
      <c r="O109" s="29"/>
      <c r="P109" s="29"/>
      <c r="Q109" s="30"/>
    </row>
    <row r="110" spans="1:17" ht="33.75" customHeight="1">
      <c r="A110" s="16">
        <v>69</v>
      </c>
      <c r="B110" s="310" t="b">
        <v>0</v>
      </c>
      <c r="C110" s="12"/>
      <c r="D110" s="198" t="s">
        <v>515</v>
      </c>
      <c r="E110" s="14" t="s">
        <v>159</v>
      </c>
      <c r="F110" s="26">
        <v>25</v>
      </c>
      <c r="G110" s="38">
        <v>1</v>
      </c>
      <c r="H110" s="26" t="s">
        <v>70</v>
      </c>
      <c r="I110" s="12"/>
      <c r="J110" s="12"/>
      <c r="K110" s="242"/>
      <c r="L110" s="245"/>
      <c r="M110" s="284" t="s">
        <v>623</v>
      </c>
      <c r="N110" s="28"/>
      <c r="O110" s="29"/>
      <c r="P110" s="29"/>
      <c r="Q110" s="30"/>
    </row>
    <row r="111" spans="1:17" ht="33.75" customHeight="1">
      <c r="A111" s="16">
        <v>69</v>
      </c>
      <c r="B111" s="310" t="b">
        <v>0</v>
      </c>
      <c r="C111" s="12"/>
      <c r="D111" s="198" t="s">
        <v>515</v>
      </c>
      <c r="E111" s="14" t="s">
        <v>159</v>
      </c>
      <c r="F111" s="26">
        <v>25</v>
      </c>
      <c r="G111" s="38">
        <v>1</v>
      </c>
      <c r="H111" s="26" t="s">
        <v>70</v>
      </c>
      <c r="I111" s="12"/>
      <c r="J111" s="12"/>
      <c r="K111" s="242"/>
      <c r="L111" s="245"/>
      <c r="M111" s="284" t="s">
        <v>624</v>
      </c>
      <c r="N111" s="28"/>
      <c r="O111" s="29"/>
      <c r="P111" s="29"/>
      <c r="Q111" s="30"/>
    </row>
    <row r="112" spans="1:17" ht="33.75" customHeight="1">
      <c r="A112" s="16"/>
      <c r="B112" s="310"/>
      <c r="C112" s="12" t="s">
        <v>745</v>
      </c>
      <c r="D112" s="198" t="s">
        <v>746</v>
      </c>
      <c r="E112" s="14" t="s">
        <v>335</v>
      </c>
      <c r="F112" s="26">
        <v>25</v>
      </c>
      <c r="G112" s="38">
        <v>1</v>
      </c>
      <c r="H112" s="26" t="s">
        <v>70</v>
      </c>
      <c r="I112" s="12"/>
      <c r="J112" s="12"/>
      <c r="K112" s="242"/>
      <c r="L112" s="245"/>
      <c r="M112" s="284"/>
      <c r="N112" s="31" t="s">
        <v>747</v>
      </c>
      <c r="O112" s="29"/>
      <c r="P112" s="29"/>
      <c r="Q112" s="30"/>
    </row>
    <row r="113" spans="1:17" ht="33.75" customHeight="1">
      <c r="A113" s="16">
        <v>70</v>
      </c>
      <c r="B113" s="310" t="b">
        <v>0</v>
      </c>
      <c r="C113" s="12"/>
      <c r="D113" s="198" t="s">
        <v>515</v>
      </c>
      <c r="E113" s="14" t="s">
        <v>225</v>
      </c>
      <c r="F113" s="26">
        <v>25</v>
      </c>
      <c r="G113" s="38">
        <v>1</v>
      </c>
      <c r="H113" s="26" t="s">
        <v>70</v>
      </c>
      <c r="I113" s="12"/>
      <c r="J113" s="12"/>
      <c r="K113" s="242"/>
      <c r="L113" s="245"/>
      <c r="M113" s="25">
        <v>2</v>
      </c>
      <c r="N113" s="28" t="s">
        <v>625</v>
      </c>
      <c r="O113" s="29"/>
      <c r="P113" s="29"/>
      <c r="Q113" s="30"/>
    </row>
    <row r="114" spans="1:17" ht="33.75" customHeight="1">
      <c r="A114" s="16">
        <v>70</v>
      </c>
      <c r="B114" s="310" t="b">
        <v>0</v>
      </c>
      <c r="C114" s="12"/>
      <c r="D114" s="198" t="s">
        <v>515</v>
      </c>
      <c r="E114" s="14" t="s">
        <v>225</v>
      </c>
      <c r="F114" s="26">
        <v>25</v>
      </c>
      <c r="G114" s="38">
        <v>1</v>
      </c>
      <c r="H114" s="26" t="s">
        <v>70</v>
      </c>
      <c r="I114" s="12"/>
      <c r="J114" s="12"/>
      <c r="K114" s="242"/>
      <c r="L114" s="245"/>
      <c r="M114" s="284" t="s">
        <v>627</v>
      </c>
      <c r="N114" s="28" t="s">
        <v>626</v>
      </c>
      <c r="O114" s="29"/>
      <c r="P114" s="29"/>
      <c r="Q114" s="30"/>
    </row>
    <row r="115" spans="1:17" ht="33.75" customHeight="1">
      <c r="A115" s="16">
        <v>71</v>
      </c>
      <c r="B115" s="310" t="b">
        <v>0</v>
      </c>
      <c r="C115" s="12" t="s">
        <v>628</v>
      </c>
      <c r="D115" s="163" t="s">
        <v>600</v>
      </c>
      <c r="E115" s="14" t="s">
        <v>255</v>
      </c>
      <c r="F115" s="26">
        <v>25</v>
      </c>
      <c r="G115" s="38">
        <v>1</v>
      </c>
      <c r="H115" s="26" t="s">
        <v>70</v>
      </c>
      <c r="I115" s="12"/>
      <c r="J115" s="12"/>
      <c r="K115" s="242"/>
      <c r="L115" s="245"/>
      <c r="M115" s="284"/>
      <c r="N115" s="31" t="s">
        <v>629</v>
      </c>
      <c r="O115" s="29"/>
      <c r="P115" s="29"/>
      <c r="Q115" s="30"/>
    </row>
    <row r="116" spans="1:17" ht="33.75" customHeight="1">
      <c r="A116" s="16">
        <v>72</v>
      </c>
      <c r="B116" s="310" t="b">
        <v>0</v>
      </c>
      <c r="C116" s="12" t="s">
        <v>552</v>
      </c>
      <c r="D116" s="163" t="s">
        <v>630</v>
      </c>
      <c r="E116" s="14" t="s">
        <v>334</v>
      </c>
      <c r="F116" s="26">
        <v>25</v>
      </c>
      <c r="G116" s="38">
        <v>1</v>
      </c>
      <c r="H116" s="26" t="s">
        <v>70</v>
      </c>
      <c r="I116" s="12"/>
      <c r="J116" s="12"/>
      <c r="K116" s="242"/>
      <c r="L116" s="245"/>
      <c r="M116" s="284"/>
      <c r="N116" s="217" t="s">
        <v>553</v>
      </c>
      <c r="O116" s="29"/>
      <c r="P116" s="29"/>
      <c r="Q116" s="30"/>
    </row>
    <row r="117" spans="1:17" ht="33.75" customHeight="1">
      <c r="A117" s="16">
        <v>73</v>
      </c>
      <c r="B117" s="310" t="b">
        <v>0</v>
      </c>
      <c r="C117" s="12"/>
      <c r="D117" s="198" t="s">
        <v>515</v>
      </c>
      <c r="E117" s="14" t="s">
        <v>160</v>
      </c>
      <c r="F117" s="26">
        <v>25</v>
      </c>
      <c r="G117" s="38">
        <v>1</v>
      </c>
      <c r="H117" s="26" t="s">
        <v>70</v>
      </c>
      <c r="I117" s="12"/>
      <c r="J117" s="12"/>
      <c r="K117" s="242"/>
      <c r="L117" s="245"/>
      <c r="M117" s="25">
        <v>6</v>
      </c>
      <c r="N117" s="28" t="s">
        <v>625</v>
      </c>
      <c r="O117" s="29"/>
      <c r="P117" s="29"/>
      <c r="Q117" s="30"/>
    </row>
    <row r="118" spans="1:17" ht="33.75" customHeight="1">
      <c r="A118" s="16">
        <v>73</v>
      </c>
      <c r="B118" s="310" t="b">
        <v>0</v>
      </c>
      <c r="C118" s="12"/>
      <c r="D118" s="198" t="s">
        <v>515</v>
      </c>
      <c r="E118" s="14" t="s">
        <v>160</v>
      </c>
      <c r="F118" s="26">
        <v>25</v>
      </c>
      <c r="G118" s="38">
        <v>1</v>
      </c>
      <c r="H118" s="26" t="s">
        <v>70</v>
      </c>
      <c r="I118" s="12"/>
      <c r="J118" s="12"/>
      <c r="K118" s="242"/>
      <c r="L118" s="245"/>
      <c r="M118" s="284" t="s">
        <v>631</v>
      </c>
      <c r="N118" s="28" t="s">
        <v>626</v>
      </c>
      <c r="O118" s="29"/>
      <c r="P118" s="29"/>
      <c r="Q118" s="30"/>
    </row>
    <row r="119" spans="1:17" ht="33.75" customHeight="1">
      <c r="A119" s="16">
        <v>75</v>
      </c>
      <c r="B119" s="310" t="b">
        <v>0</v>
      </c>
      <c r="C119" s="12" t="s">
        <v>632</v>
      </c>
      <c r="D119" s="163" t="s">
        <v>630</v>
      </c>
      <c r="E119" s="14" t="s">
        <v>334</v>
      </c>
      <c r="F119" s="26">
        <v>25</v>
      </c>
      <c r="G119" s="38">
        <v>1</v>
      </c>
      <c r="H119" s="26" t="s">
        <v>70</v>
      </c>
      <c r="I119" s="12"/>
      <c r="J119" s="12"/>
      <c r="K119" s="242"/>
      <c r="L119" s="245"/>
      <c r="M119" s="284"/>
      <c r="N119" s="31" t="s">
        <v>633</v>
      </c>
      <c r="O119" s="29"/>
      <c r="P119" s="29"/>
      <c r="Q119" s="30"/>
    </row>
    <row r="120" spans="1:17" ht="33.75" customHeight="1">
      <c r="A120" s="16">
        <v>74</v>
      </c>
      <c r="B120" s="310" t="b">
        <v>0</v>
      </c>
      <c r="C120" s="12"/>
      <c r="D120" s="198" t="s">
        <v>515</v>
      </c>
      <c r="E120" s="14" t="s">
        <v>161</v>
      </c>
      <c r="F120" s="26">
        <v>25</v>
      </c>
      <c r="G120" s="38">
        <v>1</v>
      </c>
      <c r="H120" s="26" t="s">
        <v>70</v>
      </c>
      <c r="I120" s="12"/>
      <c r="J120" s="12"/>
      <c r="K120" s="242"/>
      <c r="L120" s="245"/>
      <c r="M120" s="25">
        <v>5</v>
      </c>
      <c r="N120" s="28" t="s">
        <v>625</v>
      </c>
      <c r="O120" s="29"/>
      <c r="P120" s="29"/>
      <c r="Q120" s="30"/>
    </row>
    <row r="121" spans="1:17" ht="33.75" customHeight="1">
      <c r="A121" s="16">
        <v>74</v>
      </c>
      <c r="B121" s="310" t="b">
        <v>0</v>
      </c>
      <c r="C121" s="12"/>
      <c r="D121" s="198" t="s">
        <v>515</v>
      </c>
      <c r="E121" s="14" t="s">
        <v>161</v>
      </c>
      <c r="F121" s="26">
        <v>25</v>
      </c>
      <c r="G121" s="38">
        <v>1</v>
      </c>
      <c r="H121" s="26" t="s">
        <v>70</v>
      </c>
      <c r="I121" s="12"/>
      <c r="J121" s="12"/>
      <c r="K121" s="242"/>
      <c r="L121" s="245"/>
      <c r="M121" s="284" t="s">
        <v>634</v>
      </c>
      <c r="N121" s="28" t="s">
        <v>626</v>
      </c>
      <c r="O121" s="29"/>
      <c r="P121" s="29"/>
      <c r="Q121" s="30"/>
    </row>
    <row r="122" spans="1:17" ht="33.75" customHeight="1">
      <c r="A122" s="16">
        <v>75</v>
      </c>
      <c r="B122" s="310" t="b">
        <v>0</v>
      </c>
      <c r="C122" s="12" t="s">
        <v>554</v>
      </c>
      <c r="D122" s="163" t="s">
        <v>630</v>
      </c>
      <c r="E122" s="14" t="s">
        <v>334</v>
      </c>
      <c r="F122" s="26">
        <v>25</v>
      </c>
      <c r="G122" s="38">
        <v>1</v>
      </c>
      <c r="H122" s="26" t="s">
        <v>70</v>
      </c>
      <c r="I122" s="12"/>
      <c r="J122" s="12"/>
      <c r="K122" s="242"/>
      <c r="L122" s="245"/>
      <c r="M122" s="284"/>
      <c r="N122" s="31" t="s">
        <v>635</v>
      </c>
      <c r="O122" s="29"/>
      <c r="P122" s="29"/>
      <c r="Q122" s="30"/>
    </row>
    <row r="123" spans="1:17" ht="33.75" customHeight="1">
      <c r="A123" s="16">
        <v>76</v>
      </c>
      <c r="B123" s="310" t="b">
        <v>0</v>
      </c>
      <c r="C123" s="12"/>
      <c r="D123" s="198" t="s">
        <v>515</v>
      </c>
      <c r="E123" s="14" t="s">
        <v>162</v>
      </c>
      <c r="F123" s="26">
        <v>25</v>
      </c>
      <c r="G123" s="38">
        <v>1</v>
      </c>
      <c r="H123" s="26" t="s">
        <v>70</v>
      </c>
      <c r="I123" s="12"/>
      <c r="J123" s="12"/>
      <c r="K123" s="242"/>
      <c r="L123" s="245"/>
      <c r="M123" s="25">
        <v>12</v>
      </c>
      <c r="N123" s="28" t="s">
        <v>625</v>
      </c>
      <c r="O123" s="29"/>
      <c r="P123" s="29"/>
      <c r="Q123" s="30"/>
    </row>
    <row r="124" spans="1:17" ht="33.75" customHeight="1">
      <c r="A124" s="16">
        <v>76</v>
      </c>
      <c r="B124" s="310" t="b">
        <v>0</v>
      </c>
      <c r="C124" s="12"/>
      <c r="D124" s="198" t="s">
        <v>515</v>
      </c>
      <c r="E124" s="14" t="s">
        <v>162</v>
      </c>
      <c r="F124" s="26">
        <v>25</v>
      </c>
      <c r="G124" s="38">
        <v>1</v>
      </c>
      <c r="H124" s="26" t="s">
        <v>70</v>
      </c>
      <c r="I124" s="12"/>
      <c r="J124" s="12"/>
      <c r="K124" s="242"/>
      <c r="L124" s="245"/>
      <c r="M124" s="284" t="s">
        <v>636</v>
      </c>
      <c r="N124" s="28" t="s">
        <v>626</v>
      </c>
      <c r="O124" s="29"/>
      <c r="P124" s="29"/>
      <c r="Q124" s="30"/>
    </row>
    <row r="125" spans="1:17" ht="33.75" customHeight="1">
      <c r="A125" s="16">
        <v>77</v>
      </c>
      <c r="B125" s="310" t="b">
        <v>0</v>
      </c>
      <c r="C125" s="12" t="s">
        <v>555</v>
      </c>
      <c r="D125" s="163" t="s">
        <v>630</v>
      </c>
      <c r="E125" s="14" t="s">
        <v>334</v>
      </c>
      <c r="F125" s="26">
        <v>25</v>
      </c>
      <c r="G125" s="38">
        <v>1</v>
      </c>
      <c r="H125" s="26" t="s">
        <v>70</v>
      </c>
      <c r="I125" s="12"/>
      <c r="J125" s="12"/>
      <c r="K125" s="242"/>
      <c r="L125" s="245"/>
      <c r="M125" s="284"/>
      <c r="N125" s="28"/>
      <c r="O125" s="29"/>
      <c r="P125" s="29"/>
      <c r="Q125" s="30"/>
    </row>
    <row r="126" spans="1:17" ht="33.75" customHeight="1">
      <c r="A126" s="16">
        <v>78</v>
      </c>
      <c r="B126" s="310" t="b">
        <v>0</v>
      </c>
      <c r="C126" s="12"/>
      <c r="D126" s="198" t="s">
        <v>515</v>
      </c>
      <c r="E126" s="154" t="s">
        <v>163</v>
      </c>
      <c r="F126" s="26">
        <v>25</v>
      </c>
      <c r="G126" s="38">
        <v>1</v>
      </c>
      <c r="H126" s="26" t="s">
        <v>70</v>
      </c>
      <c r="I126" s="12"/>
      <c r="J126" s="12"/>
      <c r="K126" s="242"/>
      <c r="L126" s="245"/>
      <c r="M126" s="25">
        <v>3</v>
      </c>
      <c r="N126" s="28" t="s">
        <v>625</v>
      </c>
      <c r="O126" s="29"/>
      <c r="P126" s="29"/>
      <c r="Q126" s="30"/>
    </row>
    <row r="127" spans="1:17" ht="33.75" customHeight="1">
      <c r="A127" s="16">
        <v>78</v>
      </c>
      <c r="B127" s="310" t="b">
        <v>0</v>
      </c>
      <c r="C127" s="12"/>
      <c r="D127" s="198" t="s">
        <v>515</v>
      </c>
      <c r="E127" s="154" t="s">
        <v>163</v>
      </c>
      <c r="F127" s="26">
        <v>25</v>
      </c>
      <c r="G127" s="38">
        <v>1</v>
      </c>
      <c r="H127" s="26" t="s">
        <v>70</v>
      </c>
      <c r="I127" s="12"/>
      <c r="J127" s="12"/>
      <c r="K127" s="242"/>
      <c r="L127" s="245"/>
      <c r="M127" s="284" t="s">
        <v>637</v>
      </c>
      <c r="N127" s="28" t="s">
        <v>626</v>
      </c>
      <c r="O127" s="29"/>
      <c r="P127" s="29"/>
      <c r="Q127" s="30"/>
    </row>
    <row r="128" spans="1:17" ht="33.75" customHeight="1">
      <c r="A128" s="16">
        <v>79</v>
      </c>
      <c r="B128" s="310" t="b">
        <v>0</v>
      </c>
      <c r="C128" s="12" t="s">
        <v>551</v>
      </c>
      <c r="D128" s="163" t="s">
        <v>600</v>
      </c>
      <c r="E128" s="14" t="s">
        <v>255</v>
      </c>
      <c r="F128" s="26">
        <v>25</v>
      </c>
      <c r="G128" s="38">
        <v>1</v>
      </c>
      <c r="H128" s="26" t="s">
        <v>70</v>
      </c>
      <c r="I128" s="12"/>
      <c r="J128" s="12"/>
      <c r="K128" s="242"/>
      <c r="L128" s="245"/>
      <c r="M128" s="284"/>
      <c r="N128" s="28"/>
      <c r="O128" s="29"/>
      <c r="P128" s="29"/>
      <c r="Q128" s="30"/>
    </row>
    <row r="129" spans="1:17" ht="33.75" customHeight="1">
      <c r="A129" s="16">
        <v>80</v>
      </c>
      <c r="B129" s="310" t="b">
        <v>0</v>
      </c>
      <c r="C129" s="12"/>
      <c r="D129" s="198" t="s">
        <v>515</v>
      </c>
      <c r="E129" s="14" t="s">
        <v>351</v>
      </c>
      <c r="F129" s="26"/>
      <c r="G129" s="38"/>
      <c r="H129" s="26" t="s">
        <v>70</v>
      </c>
      <c r="I129" s="12"/>
      <c r="J129" s="12"/>
      <c r="K129" s="242"/>
      <c r="L129" s="245"/>
      <c r="M129" s="25"/>
      <c r="N129" s="28"/>
      <c r="O129" s="29"/>
      <c r="P129" s="29"/>
      <c r="Q129" s="30"/>
    </row>
    <row r="130" spans="1:17" ht="33.75" customHeight="1">
      <c r="A130" s="16">
        <v>81</v>
      </c>
      <c r="B130" s="310" t="b">
        <v>0</v>
      </c>
      <c r="C130" s="12"/>
      <c r="D130" s="198" t="s">
        <v>515</v>
      </c>
      <c r="E130" s="14" t="s">
        <v>169</v>
      </c>
      <c r="F130" s="26">
        <v>25</v>
      </c>
      <c r="G130" s="38">
        <v>4</v>
      </c>
      <c r="H130" s="26" t="s">
        <v>70</v>
      </c>
      <c r="I130" s="12"/>
      <c r="J130" s="12"/>
      <c r="K130" s="242"/>
      <c r="L130" s="245"/>
      <c r="M130" s="25">
        <v>9</v>
      </c>
      <c r="N130" s="28"/>
      <c r="O130" s="29"/>
      <c r="P130" s="29"/>
      <c r="Q130" s="30"/>
    </row>
    <row r="131" spans="1:17" ht="33.75" customHeight="1">
      <c r="A131" s="16">
        <v>82</v>
      </c>
      <c r="B131" s="310" t="b">
        <v>0</v>
      </c>
      <c r="C131" s="12"/>
      <c r="D131" s="198" t="s">
        <v>515</v>
      </c>
      <c r="E131" s="14" t="s">
        <v>398</v>
      </c>
      <c r="F131" s="26">
        <v>25</v>
      </c>
      <c r="G131" s="38">
        <v>3</v>
      </c>
      <c r="H131" s="26" t="s">
        <v>70</v>
      </c>
      <c r="I131" s="12"/>
      <c r="J131" s="12"/>
      <c r="K131" s="242"/>
      <c r="L131" s="245"/>
      <c r="M131" s="25">
        <v>8</v>
      </c>
      <c r="N131" s="28"/>
      <c r="O131" s="29"/>
      <c r="P131" s="29"/>
      <c r="Q131" s="30"/>
    </row>
    <row r="132" spans="1:17" ht="33.75" customHeight="1">
      <c r="A132" s="16">
        <v>83</v>
      </c>
      <c r="B132" s="310" t="b">
        <v>0</v>
      </c>
      <c r="C132" s="12"/>
      <c r="D132" s="198" t="s">
        <v>515</v>
      </c>
      <c r="E132" s="154" t="s">
        <v>259</v>
      </c>
      <c r="F132" s="27"/>
      <c r="G132" s="38"/>
      <c r="H132" s="26" t="s">
        <v>70</v>
      </c>
      <c r="I132" s="12"/>
      <c r="J132" s="12"/>
      <c r="K132" s="242"/>
      <c r="L132" s="245"/>
      <c r="M132" s="25"/>
      <c r="N132" s="28" t="s">
        <v>62</v>
      </c>
      <c r="O132" s="29"/>
      <c r="P132" s="29"/>
      <c r="Q132" s="30"/>
    </row>
    <row r="133" spans="1:17" ht="33.75" customHeight="1">
      <c r="A133" s="16">
        <v>84</v>
      </c>
      <c r="B133" s="310" t="b">
        <v>0</v>
      </c>
      <c r="C133" s="12"/>
      <c r="D133" s="198" t="s">
        <v>515</v>
      </c>
      <c r="E133" s="14" t="s">
        <v>164</v>
      </c>
      <c r="F133" s="26">
        <v>25</v>
      </c>
      <c r="G133" s="38">
        <v>1</v>
      </c>
      <c r="H133" s="26" t="s">
        <v>70</v>
      </c>
      <c r="I133" s="12"/>
      <c r="J133" s="12"/>
      <c r="K133" s="242"/>
      <c r="L133" s="245"/>
      <c r="M133" s="25">
        <v>7</v>
      </c>
      <c r="N133" s="28"/>
      <c r="O133" s="29"/>
      <c r="P133" s="29"/>
      <c r="Q133" s="30"/>
    </row>
    <row r="134" spans="1:17" ht="33.75" customHeight="1">
      <c r="A134" s="16">
        <v>85</v>
      </c>
      <c r="B134" s="310" t="b">
        <v>0</v>
      </c>
      <c r="C134" s="12"/>
      <c r="D134" s="198" t="s">
        <v>515</v>
      </c>
      <c r="E134" s="154" t="s">
        <v>275</v>
      </c>
      <c r="F134" s="26"/>
      <c r="G134" s="38"/>
      <c r="H134" s="26" t="s">
        <v>70</v>
      </c>
      <c r="I134" s="12"/>
      <c r="J134" s="12"/>
      <c r="K134" s="242"/>
      <c r="L134" s="245"/>
      <c r="M134" s="25"/>
      <c r="N134" s="28"/>
      <c r="O134" s="29"/>
      <c r="P134" s="29"/>
      <c r="Q134" s="30"/>
    </row>
    <row r="135" spans="1:17" ht="33.75" customHeight="1">
      <c r="A135" s="16">
        <v>86</v>
      </c>
      <c r="B135" s="310" t="b">
        <v>0</v>
      </c>
      <c r="C135" s="12"/>
      <c r="D135" s="198" t="s">
        <v>515</v>
      </c>
      <c r="E135" s="14" t="s">
        <v>166</v>
      </c>
      <c r="F135" s="26"/>
      <c r="G135" s="38"/>
      <c r="H135" s="26" t="s">
        <v>70</v>
      </c>
      <c r="I135" s="12"/>
      <c r="J135" s="12"/>
      <c r="K135" s="242"/>
      <c r="L135" s="245"/>
      <c r="M135" s="25"/>
      <c r="N135" s="28"/>
      <c r="O135" s="29"/>
      <c r="P135" s="29"/>
      <c r="Q135" s="30"/>
    </row>
    <row r="136" spans="1:17" ht="33.75" customHeight="1">
      <c r="A136" s="16">
        <v>87</v>
      </c>
      <c r="B136" s="310" t="b">
        <v>0</v>
      </c>
      <c r="C136" s="12"/>
      <c r="D136" s="198" t="s">
        <v>515</v>
      </c>
      <c r="E136" s="14" t="s">
        <v>352</v>
      </c>
      <c r="F136" s="26"/>
      <c r="G136" s="38"/>
      <c r="H136" s="26" t="s">
        <v>70</v>
      </c>
      <c r="I136" s="12"/>
      <c r="J136" s="12"/>
      <c r="K136" s="242"/>
      <c r="L136" s="245"/>
      <c r="M136" s="25"/>
      <c r="N136" s="28"/>
      <c r="O136" s="29"/>
      <c r="P136" s="29"/>
      <c r="Q136" s="30"/>
    </row>
    <row r="137" spans="1:17" ht="33.75" customHeight="1">
      <c r="A137" s="16">
        <v>88</v>
      </c>
      <c r="B137" s="310" t="b">
        <v>0</v>
      </c>
      <c r="C137" s="12"/>
      <c r="D137" s="198" t="s">
        <v>515</v>
      </c>
      <c r="E137" s="154" t="s">
        <v>171</v>
      </c>
      <c r="F137" s="26">
        <v>25</v>
      </c>
      <c r="G137" s="38">
        <v>2</v>
      </c>
      <c r="H137" s="26" t="s">
        <v>70</v>
      </c>
      <c r="I137" s="12"/>
      <c r="J137" s="12"/>
      <c r="K137" s="242"/>
      <c r="L137" s="245"/>
      <c r="M137" s="284" t="s">
        <v>639</v>
      </c>
      <c r="N137" s="28" t="s">
        <v>519</v>
      </c>
      <c r="O137" s="32"/>
      <c r="P137" s="32"/>
      <c r="Q137" s="33"/>
    </row>
    <row r="138" spans="1:17" ht="33.75" customHeight="1">
      <c r="A138" s="16">
        <v>89</v>
      </c>
      <c r="B138" s="310" t="b">
        <v>0</v>
      </c>
      <c r="C138" s="12"/>
      <c r="D138" s="198" t="s">
        <v>515</v>
      </c>
      <c r="E138" s="14" t="s">
        <v>518</v>
      </c>
      <c r="F138" s="26">
        <v>25</v>
      </c>
      <c r="G138" s="38">
        <v>1</v>
      </c>
      <c r="H138" s="26" t="s">
        <v>70</v>
      </c>
      <c r="I138" s="12"/>
      <c r="J138" s="12"/>
      <c r="K138" s="242"/>
      <c r="L138" s="245"/>
      <c r="M138" s="284" t="s">
        <v>640</v>
      </c>
      <c r="N138" s="28"/>
      <c r="O138" s="32"/>
      <c r="P138" s="32"/>
      <c r="Q138" s="33"/>
    </row>
    <row r="139" spans="1:17" ht="33.75" customHeight="1">
      <c r="A139" s="16">
        <v>90</v>
      </c>
      <c r="B139" s="310" t="b">
        <v>0</v>
      </c>
      <c r="C139" s="12"/>
      <c r="D139" s="198" t="s">
        <v>515</v>
      </c>
      <c r="E139" s="154" t="s">
        <v>170</v>
      </c>
      <c r="F139" s="27"/>
      <c r="G139" s="38"/>
      <c r="H139" s="26" t="s">
        <v>70</v>
      </c>
      <c r="I139" s="12"/>
      <c r="J139" s="12"/>
      <c r="K139" s="242"/>
      <c r="L139" s="245"/>
      <c r="M139" s="179"/>
      <c r="N139" s="28"/>
      <c r="O139" s="32"/>
      <c r="P139" s="32"/>
      <c r="Q139" s="33"/>
    </row>
    <row r="140" spans="1:17" ht="33.75" customHeight="1">
      <c r="A140" s="16">
        <v>91</v>
      </c>
      <c r="B140" s="310" t="b">
        <v>0</v>
      </c>
      <c r="C140" s="12"/>
      <c r="D140" s="198" t="s">
        <v>515</v>
      </c>
      <c r="E140" s="14" t="s">
        <v>258</v>
      </c>
      <c r="F140" s="26">
        <v>25</v>
      </c>
      <c r="G140" s="38">
        <v>2</v>
      </c>
      <c r="H140" s="26" t="s">
        <v>70</v>
      </c>
      <c r="I140" s="12"/>
      <c r="J140" s="12"/>
      <c r="K140" s="242"/>
      <c r="L140" s="245"/>
      <c r="M140" s="179">
        <v>4</v>
      </c>
      <c r="N140" s="28"/>
      <c r="O140" s="32"/>
      <c r="P140" s="32"/>
      <c r="Q140" s="33"/>
    </row>
    <row r="141" spans="1:17" ht="33.75" customHeight="1">
      <c r="A141" s="16">
        <v>91</v>
      </c>
      <c r="B141" s="310" t="b">
        <v>0</v>
      </c>
      <c r="C141" s="12"/>
      <c r="D141" s="198" t="s">
        <v>515</v>
      </c>
      <c r="E141" s="14" t="s">
        <v>258</v>
      </c>
      <c r="F141" s="26">
        <v>25</v>
      </c>
      <c r="G141" s="38">
        <v>2</v>
      </c>
      <c r="H141" s="26" t="s">
        <v>70</v>
      </c>
      <c r="I141" s="12"/>
      <c r="J141" s="12"/>
      <c r="K141" s="242"/>
      <c r="L141" s="245"/>
      <c r="M141" s="179">
        <v>5</v>
      </c>
      <c r="N141" s="28"/>
      <c r="O141" s="32"/>
      <c r="P141" s="32"/>
      <c r="Q141" s="33"/>
    </row>
    <row r="142" spans="1:17" ht="33.75" customHeight="1">
      <c r="A142" s="16">
        <v>93</v>
      </c>
      <c r="B142" s="310" t="b">
        <v>0</v>
      </c>
      <c r="C142" s="12"/>
      <c r="D142" s="198" t="s">
        <v>515</v>
      </c>
      <c r="E142" s="14" t="s">
        <v>557</v>
      </c>
      <c r="F142" s="26">
        <v>25</v>
      </c>
      <c r="G142" s="38">
        <v>2</v>
      </c>
      <c r="H142" s="26" t="s">
        <v>70</v>
      </c>
      <c r="I142" s="12"/>
      <c r="J142" s="12"/>
      <c r="K142" s="242"/>
      <c r="L142" s="245"/>
      <c r="M142" s="179">
        <v>6</v>
      </c>
      <c r="N142" s="28"/>
      <c r="O142" s="32"/>
      <c r="P142" s="32"/>
      <c r="Q142" s="33"/>
    </row>
    <row r="143" spans="1:17" ht="33.75" customHeight="1">
      <c r="A143" s="16">
        <v>92</v>
      </c>
      <c r="B143" s="310" t="b">
        <v>0</v>
      </c>
      <c r="C143" s="12"/>
      <c r="D143" s="198" t="s">
        <v>515</v>
      </c>
      <c r="E143" s="14" t="s">
        <v>556</v>
      </c>
      <c r="F143" s="26">
        <v>25</v>
      </c>
      <c r="G143" s="38">
        <v>2</v>
      </c>
      <c r="H143" s="26" t="s">
        <v>70</v>
      </c>
      <c r="I143" s="12"/>
      <c r="J143" s="12"/>
      <c r="K143" s="242"/>
      <c r="L143" s="245"/>
      <c r="M143" s="179">
        <v>1</v>
      </c>
      <c r="N143" s="28"/>
      <c r="O143" s="32"/>
      <c r="P143" s="32"/>
      <c r="Q143" s="33"/>
    </row>
    <row r="144" spans="1:17" ht="33.75" customHeight="1">
      <c r="A144" s="16">
        <v>92</v>
      </c>
      <c r="B144" s="310" t="b">
        <v>0</v>
      </c>
      <c r="C144" s="12"/>
      <c r="D144" s="198" t="s">
        <v>515</v>
      </c>
      <c r="E144" s="14" t="s">
        <v>556</v>
      </c>
      <c r="F144" s="26">
        <v>25</v>
      </c>
      <c r="G144" s="38">
        <v>2</v>
      </c>
      <c r="H144" s="26" t="s">
        <v>70</v>
      </c>
      <c r="I144" s="12"/>
      <c r="J144" s="12"/>
      <c r="K144" s="242"/>
      <c r="L144" s="245"/>
      <c r="M144" s="179">
        <v>2</v>
      </c>
      <c r="N144" s="28"/>
      <c r="O144" s="32"/>
      <c r="P144" s="32"/>
      <c r="Q144" s="33"/>
    </row>
    <row r="145" spans="1:17" ht="33.75" customHeight="1">
      <c r="A145" s="16">
        <v>93</v>
      </c>
      <c r="B145" s="310" t="b">
        <v>0</v>
      </c>
      <c r="C145" s="12"/>
      <c r="D145" s="198" t="s">
        <v>515</v>
      </c>
      <c r="E145" s="14" t="s">
        <v>557</v>
      </c>
      <c r="F145" s="26">
        <v>25</v>
      </c>
      <c r="G145" s="38">
        <v>2</v>
      </c>
      <c r="H145" s="26" t="s">
        <v>70</v>
      </c>
      <c r="I145" s="12"/>
      <c r="J145" s="12"/>
      <c r="K145" s="242"/>
      <c r="L145" s="245"/>
      <c r="M145" s="179">
        <v>3</v>
      </c>
      <c r="N145" s="28"/>
      <c r="O145" s="32"/>
      <c r="P145" s="32"/>
      <c r="Q145" s="33"/>
    </row>
    <row r="146" spans="1:17" ht="33.75" customHeight="1">
      <c r="A146" s="16">
        <v>94</v>
      </c>
      <c r="B146" s="310" t="b">
        <v>0</v>
      </c>
      <c r="C146" s="12"/>
      <c r="D146" s="198" t="s">
        <v>515</v>
      </c>
      <c r="E146" s="14" t="s">
        <v>165</v>
      </c>
      <c r="F146" s="40"/>
      <c r="G146" s="38"/>
      <c r="H146" s="26" t="s">
        <v>70</v>
      </c>
      <c r="I146" s="12"/>
      <c r="J146" s="12"/>
      <c r="K146" s="242"/>
      <c r="L146" s="245"/>
      <c r="M146" s="25"/>
      <c r="N146" s="28"/>
      <c r="O146" s="29"/>
      <c r="P146" s="29"/>
      <c r="Q146" s="30"/>
    </row>
    <row r="147" spans="1:17" ht="33.75" customHeight="1">
      <c r="A147" s="16">
        <v>95</v>
      </c>
      <c r="B147" s="310" t="b">
        <v>0</v>
      </c>
      <c r="C147" s="12"/>
      <c r="D147" s="18" t="s">
        <v>642</v>
      </c>
      <c r="E147" s="14" t="s">
        <v>241</v>
      </c>
      <c r="F147" s="26">
        <v>26</v>
      </c>
      <c r="G147" s="38">
        <v>2</v>
      </c>
      <c r="H147" s="26" t="s">
        <v>641</v>
      </c>
      <c r="I147" s="12"/>
      <c r="J147" s="12"/>
      <c r="K147" s="242"/>
      <c r="L147" s="245"/>
      <c r="M147" s="25"/>
      <c r="N147" s="28"/>
      <c r="O147" s="29"/>
      <c r="P147" s="29"/>
      <c r="Q147" s="30"/>
    </row>
    <row r="148" spans="1:17" ht="33.75" customHeight="1">
      <c r="A148" s="16">
        <v>97</v>
      </c>
      <c r="B148" s="310" t="b">
        <v>0</v>
      </c>
      <c r="C148" s="12" t="s">
        <v>49</v>
      </c>
      <c r="D148" s="18" t="s">
        <v>711</v>
      </c>
      <c r="E148" s="14" t="s">
        <v>464</v>
      </c>
      <c r="F148" s="40">
        <v>26</v>
      </c>
      <c r="G148" s="38">
        <v>1</v>
      </c>
      <c r="H148" s="26" t="s">
        <v>70</v>
      </c>
      <c r="I148" s="12"/>
      <c r="J148" s="12"/>
      <c r="K148" s="242"/>
      <c r="L148" s="245"/>
      <c r="M148" s="179"/>
      <c r="N148" s="31"/>
      <c r="O148" s="32"/>
      <c r="P148" s="32"/>
      <c r="Q148" s="33"/>
    </row>
    <row r="149" spans="1:17" ht="33.75" customHeight="1">
      <c r="A149" s="16">
        <v>98</v>
      </c>
      <c r="B149" s="310" t="b">
        <v>0</v>
      </c>
      <c r="C149" s="12"/>
      <c r="D149" s="198" t="s">
        <v>515</v>
      </c>
      <c r="E149" s="14" t="s">
        <v>520</v>
      </c>
      <c r="F149" s="40">
        <v>26</v>
      </c>
      <c r="G149" s="38">
        <v>1</v>
      </c>
      <c r="H149" s="26" t="s">
        <v>70</v>
      </c>
      <c r="I149" s="12"/>
      <c r="J149" s="12"/>
      <c r="K149" s="242"/>
      <c r="L149" s="245"/>
      <c r="M149" s="311" t="s">
        <v>715</v>
      </c>
      <c r="N149" s="31"/>
      <c r="O149" s="32"/>
      <c r="P149" s="32"/>
      <c r="Q149" s="33"/>
    </row>
    <row r="150" spans="1:17" ht="33.75" customHeight="1">
      <c r="A150" s="16">
        <v>97</v>
      </c>
      <c r="B150" s="310" t="b">
        <v>0</v>
      </c>
      <c r="C150" s="12" t="s">
        <v>50</v>
      </c>
      <c r="D150" s="18" t="s">
        <v>713</v>
      </c>
      <c r="E150" s="14" t="s">
        <v>714</v>
      </c>
      <c r="F150" s="40">
        <v>26</v>
      </c>
      <c r="G150" s="38">
        <v>1</v>
      </c>
      <c r="H150" s="26" t="s">
        <v>70</v>
      </c>
      <c r="I150" s="12"/>
      <c r="J150" s="12"/>
      <c r="K150" s="242"/>
      <c r="L150" s="245"/>
      <c r="M150" s="179"/>
      <c r="N150" s="31"/>
      <c r="O150" s="32"/>
      <c r="P150" s="32"/>
      <c r="Q150" s="33"/>
    </row>
    <row r="151" spans="1:17" ht="33.75" customHeight="1">
      <c r="A151" s="16">
        <v>98</v>
      </c>
      <c r="B151" s="310" t="b">
        <v>0</v>
      </c>
      <c r="C151" s="12"/>
      <c r="D151" s="198" t="s">
        <v>515</v>
      </c>
      <c r="E151" s="14" t="s">
        <v>520</v>
      </c>
      <c r="F151" s="40">
        <v>26</v>
      </c>
      <c r="G151" s="38">
        <v>1</v>
      </c>
      <c r="H151" s="26" t="s">
        <v>70</v>
      </c>
      <c r="I151" s="12"/>
      <c r="J151" s="12"/>
      <c r="K151" s="242"/>
      <c r="L151" s="245"/>
      <c r="M151" s="311" t="s">
        <v>716</v>
      </c>
      <c r="N151" s="31"/>
      <c r="O151" s="32"/>
      <c r="P151" s="32"/>
      <c r="Q151" s="33"/>
    </row>
    <row r="152" spans="1:17" ht="33.75" customHeight="1">
      <c r="A152" s="16">
        <v>96</v>
      </c>
      <c r="B152" s="310" t="b">
        <v>0</v>
      </c>
      <c r="C152" s="12" t="s">
        <v>48</v>
      </c>
      <c r="D152" s="18" t="s">
        <v>712</v>
      </c>
      <c r="E152" s="14" t="s">
        <v>174</v>
      </c>
      <c r="F152" s="40">
        <v>26</v>
      </c>
      <c r="G152" s="38">
        <v>1</v>
      </c>
      <c r="H152" s="26" t="s">
        <v>70</v>
      </c>
      <c r="I152" s="12"/>
      <c r="J152" s="12"/>
      <c r="K152" s="242"/>
      <c r="L152" s="245"/>
      <c r="M152" s="25"/>
      <c r="N152" s="31"/>
      <c r="O152" s="32"/>
      <c r="P152" s="32"/>
      <c r="Q152" s="33"/>
    </row>
    <row r="153" spans="1:17" ht="33.75" customHeight="1">
      <c r="A153" s="16">
        <v>98</v>
      </c>
      <c r="B153" s="310" t="b">
        <v>0</v>
      </c>
      <c r="C153" s="12"/>
      <c r="D153" s="198" t="s">
        <v>515</v>
      </c>
      <c r="E153" s="14" t="s">
        <v>520</v>
      </c>
      <c r="F153" s="40">
        <v>26</v>
      </c>
      <c r="G153" s="38">
        <v>1</v>
      </c>
      <c r="H153" s="26" t="s">
        <v>70</v>
      </c>
      <c r="I153" s="12"/>
      <c r="J153" s="12"/>
      <c r="K153" s="242"/>
      <c r="L153" s="245"/>
      <c r="M153" s="311" t="s">
        <v>717</v>
      </c>
      <c r="N153" s="31"/>
      <c r="O153" s="32"/>
      <c r="P153" s="32"/>
      <c r="Q153" s="33"/>
    </row>
    <row r="154" spans="1:17" ht="33.75" customHeight="1">
      <c r="A154" s="16">
        <v>97</v>
      </c>
      <c r="B154" s="310" t="b">
        <v>0</v>
      </c>
      <c r="C154" s="12" t="s">
        <v>49</v>
      </c>
      <c r="D154" s="18" t="s">
        <v>522</v>
      </c>
      <c r="E154" s="14" t="s">
        <v>464</v>
      </c>
      <c r="F154" s="40"/>
      <c r="G154" s="38">
        <v>2</v>
      </c>
      <c r="H154" s="26" t="s">
        <v>70</v>
      </c>
      <c r="I154" s="12"/>
      <c r="J154" s="12"/>
      <c r="K154" s="242"/>
      <c r="L154" s="245"/>
      <c r="M154" s="179"/>
      <c r="N154" s="31"/>
      <c r="O154" s="32"/>
      <c r="P154" s="32"/>
      <c r="Q154" s="33"/>
    </row>
    <row r="155" spans="1:17" ht="33.75" customHeight="1">
      <c r="A155" s="16">
        <v>98</v>
      </c>
      <c r="B155" s="310" t="b">
        <v>0</v>
      </c>
      <c r="C155" s="12"/>
      <c r="D155" s="198" t="s">
        <v>515</v>
      </c>
      <c r="E155" s="14" t="s">
        <v>520</v>
      </c>
      <c r="F155" s="40"/>
      <c r="G155" s="38">
        <v>2</v>
      </c>
      <c r="H155" s="26" t="s">
        <v>70</v>
      </c>
      <c r="I155" s="12"/>
      <c r="J155" s="12"/>
      <c r="K155" s="242"/>
      <c r="L155" s="245"/>
      <c r="M155" s="179"/>
      <c r="N155" s="31"/>
      <c r="O155" s="32"/>
      <c r="P155" s="32"/>
      <c r="Q155" s="33"/>
    </row>
    <row r="156" spans="1:17" ht="33.75" customHeight="1">
      <c r="A156" s="16">
        <v>99</v>
      </c>
      <c r="B156" s="310" t="b">
        <v>0</v>
      </c>
      <c r="C156" s="12"/>
      <c r="D156" s="198" t="s">
        <v>515</v>
      </c>
      <c r="E156" s="14" t="s">
        <v>175</v>
      </c>
      <c r="F156" s="40"/>
      <c r="G156" s="38"/>
      <c r="H156" s="26" t="s">
        <v>70</v>
      </c>
      <c r="I156" s="12"/>
      <c r="J156" s="12"/>
      <c r="K156" s="242"/>
      <c r="L156" s="245"/>
      <c r="M156" s="179"/>
      <c r="N156" s="31"/>
      <c r="O156" s="32"/>
      <c r="P156" s="32"/>
      <c r="Q156" s="33"/>
    </row>
    <row r="157" spans="1:17" ht="33.75" customHeight="1">
      <c r="A157" s="16">
        <v>100</v>
      </c>
      <c r="B157" s="310" t="b">
        <v>0</v>
      </c>
      <c r="C157" s="12"/>
      <c r="D157" s="18" t="s">
        <v>522</v>
      </c>
      <c r="E157" s="14" t="s">
        <v>176</v>
      </c>
      <c r="F157" s="40"/>
      <c r="G157" s="38">
        <v>7</v>
      </c>
      <c r="H157" s="26" t="s">
        <v>72</v>
      </c>
      <c r="I157" s="12"/>
      <c r="J157" s="12"/>
      <c r="K157" s="242"/>
      <c r="L157" s="245"/>
      <c r="M157" s="25"/>
      <c r="N157" s="28" t="s">
        <v>478</v>
      </c>
      <c r="O157" s="32"/>
      <c r="P157" s="32"/>
      <c r="Q157" s="33"/>
    </row>
    <row r="158" spans="1:17" ht="33.75" customHeight="1">
      <c r="A158" s="16">
        <v>101</v>
      </c>
      <c r="B158" s="310" t="b">
        <v>0</v>
      </c>
      <c r="C158" s="12"/>
      <c r="D158" s="18" t="s">
        <v>522</v>
      </c>
      <c r="E158" s="14" t="s">
        <v>356</v>
      </c>
      <c r="F158" s="40"/>
      <c r="G158" s="38"/>
      <c r="H158" s="26" t="s">
        <v>70</v>
      </c>
      <c r="I158" s="12"/>
      <c r="J158" s="12"/>
      <c r="K158" s="242"/>
      <c r="L158" s="245"/>
      <c r="M158" s="25"/>
      <c r="N158" s="28" t="s">
        <v>51</v>
      </c>
      <c r="O158" s="32"/>
      <c r="P158" s="32"/>
      <c r="Q158" s="33"/>
    </row>
    <row r="159" spans="1:17" ht="33.75" customHeight="1">
      <c r="A159" s="16">
        <v>102</v>
      </c>
      <c r="B159" s="310" t="b">
        <v>0</v>
      </c>
      <c r="C159" s="12"/>
      <c r="D159" s="18" t="s">
        <v>521</v>
      </c>
      <c r="E159" s="14" t="s">
        <v>357</v>
      </c>
      <c r="F159" s="40"/>
      <c r="G159" s="38"/>
      <c r="H159" s="26" t="s">
        <v>72</v>
      </c>
      <c r="I159" s="12"/>
      <c r="J159" s="12"/>
      <c r="K159" s="242"/>
      <c r="L159" s="245"/>
      <c r="M159" s="25"/>
      <c r="N159" s="28" t="s">
        <v>381</v>
      </c>
      <c r="O159" s="32"/>
      <c r="P159" s="32"/>
      <c r="Q159" s="33"/>
    </row>
    <row r="160" spans="1:17" ht="33.75" customHeight="1">
      <c r="A160" s="16">
        <v>103</v>
      </c>
      <c r="B160" s="310" t="b">
        <v>0</v>
      </c>
      <c r="C160" s="12" t="s">
        <v>50</v>
      </c>
      <c r="D160" s="18" t="s">
        <v>522</v>
      </c>
      <c r="E160" s="14" t="s">
        <v>254</v>
      </c>
      <c r="F160" s="26"/>
      <c r="G160" s="38"/>
      <c r="H160" s="26" t="s">
        <v>70</v>
      </c>
      <c r="I160" s="12"/>
      <c r="J160" s="12"/>
      <c r="K160" s="242"/>
      <c r="L160" s="245"/>
      <c r="M160" s="25"/>
      <c r="N160" s="28"/>
      <c r="O160" s="32"/>
      <c r="P160" s="32"/>
      <c r="Q160" s="33"/>
    </row>
    <row r="161" spans="1:17" ht="33.75" customHeight="1">
      <c r="A161" s="16">
        <v>104</v>
      </c>
      <c r="B161" s="310" t="b">
        <v>0</v>
      </c>
      <c r="C161" s="220"/>
      <c r="D161" s="230" t="s">
        <v>358</v>
      </c>
      <c r="E161" s="222" t="s">
        <v>189</v>
      </c>
      <c r="F161" s="223">
        <v>26</v>
      </c>
      <c r="G161" s="224">
        <v>15</v>
      </c>
      <c r="H161" s="224" t="s">
        <v>71</v>
      </c>
      <c r="I161" s="220"/>
      <c r="J161" s="220"/>
      <c r="K161" s="242"/>
      <c r="L161" s="245"/>
      <c r="M161" s="225"/>
      <c r="N161" s="226" t="s">
        <v>66</v>
      </c>
      <c r="O161" s="227"/>
      <c r="P161" s="227"/>
      <c r="Q161" s="228"/>
    </row>
    <row r="162" spans="1:17" ht="33.75" customHeight="1">
      <c r="A162" s="16">
        <v>105</v>
      </c>
      <c r="B162" s="310" t="b">
        <v>0</v>
      </c>
      <c r="C162" s="220"/>
      <c r="D162" s="230" t="s">
        <v>359</v>
      </c>
      <c r="E162" s="222" t="s">
        <v>501</v>
      </c>
      <c r="F162" s="223">
        <v>26</v>
      </c>
      <c r="G162" s="224">
        <v>100</v>
      </c>
      <c r="H162" s="224" t="s">
        <v>72</v>
      </c>
      <c r="I162" s="220"/>
      <c r="J162" s="220"/>
      <c r="K162" s="242"/>
      <c r="L162" s="245"/>
      <c r="M162" s="225"/>
      <c r="N162" s="229"/>
      <c r="O162" s="227"/>
      <c r="P162" s="227"/>
      <c r="Q162" s="228"/>
    </row>
    <row r="163" spans="1:17" ht="33.75" customHeight="1">
      <c r="A163" s="16">
        <v>106</v>
      </c>
      <c r="B163" s="310" t="b">
        <v>0</v>
      </c>
      <c r="C163" s="220"/>
      <c r="D163" s="230" t="s">
        <v>360</v>
      </c>
      <c r="E163" s="222" t="s">
        <v>502</v>
      </c>
      <c r="F163" s="223">
        <v>26</v>
      </c>
      <c r="G163" s="224">
        <v>100</v>
      </c>
      <c r="H163" s="224" t="s">
        <v>72</v>
      </c>
      <c r="I163" s="220"/>
      <c r="J163" s="220"/>
      <c r="K163" s="242"/>
      <c r="L163" s="245"/>
      <c r="M163" s="225"/>
      <c r="N163" s="229"/>
      <c r="O163" s="227"/>
      <c r="P163" s="227"/>
      <c r="Q163" s="228"/>
    </row>
    <row r="164" spans="1:17" ht="33.75" customHeight="1">
      <c r="A164" s="16">
        <v>107</v>
      </c>
      <c r="B164" s="310" t="b">
        <v>0</v>
      </c>
      <c r="C164" s="220"/>
      <c r="D164" s="230" t="s">
        <v>505</v>
      </c>
      <c r="E164" s="222" t="s">
        <v>190</v>
      </c>
      <c r="F164" s="223">
        <v>26</v>
      </c>
      <c r="G164" s="224">
        <v>3</v>
      </c>
      <c r="H164" s="224" t="s">
        <v>72</v>
      </c>
      <c r="I164" s="220"/>
      <c r="J164" s="220"/>
      <c r="K164" s="242"/>
      <c r="L164" s="245"/>
      <c r="M164" s="225"/>
      <c r="N164" s="229" t="s">
        <v>506</v>
      </c>
      <c r="O164" s="227"/>
      <c r="P164" s="227"/>
      <c r="Q164" s="228"/>
    </row>
    <row r="165" spans="1:17" ht="33.75" customHeight="1">
      <c r="A165" s="16">
        <v>108</v>
      </c>
      <c r="B165" s="310" t="b">
        <v>0</v>
      </c>
      <c r="C165" s="220"/>
      <c r="D165" s="230" t="s">
        <v>361</v>
      </c>
      <c r="E165" s="222" t="s">
        <v>192</v>
      </c>
      <c r="F165" s="223">
        <v>26</v>
      </c>
      <c r="G165" s="224">
        <v>3</v>
      </c>
      <c r="H165" s="224" t="s">
        <v>72</v>
      </c>
      <c r="I165" s="220"/>
      <c r="J165" s="220"/>
      <c r="K165" s="242"/>
      <c r="L165" s="245"/>
      <c r="M165" s="225"/>
      <c r="N165" s="229"/>
      <c r="O165" s="227"/>
      <c r="P165" s="227"/>
      <c r="Q165" s="228"/>
    </row>
    <row r="166" spans="1:17" s="295" customFormat="1" ht="33.75" customHeight="1">
      <c r="A166" s="16">
        <v>109</v>
      </c>
      <c r="B166" s="310" t="b">
        <v>0</v>
      </c>
      <c r="C166" s="285"/>
      <c r="D166" s="286" t="s">
        <v>393</v>
      </c>
      <c r="E166" s="287" t="s">
        <v>497</v>
      </c>
      <c r="F166" s="288"/>
      <c r="G166" s="289">
        <v>100</v>
      </c>
      <c r="H166" s="289" t="s">
        <v>72</v>
      </c>
      <c r="I166" s="285"/>
      <c r="J166" s="285"/>
      <c r="K166" s="290"/>
      <c r="L166" s="291"/>
      <c r="M166" s="290"/>
      <c r="N166" s="292"/>
      <c r="O166" s="293"/>
      <c r="P166" s="293"/>
      <c r="Q166" s="294"/>
    </row>
    <row r="167" spans="1:17" s="295" customFormat="1" ht="33.75" customHeight="1">
      <c r="A167" s="16">
        <v>110</v>
      </c>
      <c r="B167" s="310" t="b">
        <v>0</v>
      </c>
      <c r="C167" s="285"/>
      <c r="D167" s="286" t="s">
        <v>394</v>
      </c>
      <c r="E167" s="287" t="s">
        <v>498</v>
      </c>
      <c r="F167" s="288"/>
      <c r="G167" s="289">
        <v>100</v>
      </c>
      <c r="H167" s="289" t="s">
        <v>72</v>
      </c>
      <c r="I167" s="285"/>
      <c r="J167" s="285"/>
      <c r="K167" s="290"/>
      <c r="L167" s="291"/>
      <c r="M167" s="290"/>
      <c r="N167" s="292"/>
      <c r="O167" s="293"/>
      <c r="P167" s="293"/>
      <c r="Q167" s="294"/>
    </row>
    <row r="168" spans="1:17" s="295" customFormat="1" ht="33.75" customHeight="1">
      <c r="A168" s="16">
        <v>111</v>
      </c>
      <c r="B168" s="310" t="b">
        <v>0</v>
      </c>
      <c r="C168" s="285"/>
      <c r="D168" s="286" t="s">
        <v>395</v>
      </c>
      <c r="E168" s="287" t="s">
        <v>499</v>
      </c>
      <c r="F168" s="288"/>
      <c r="G168" s="289">
        <v>100</v>
      </c>
      <c r="H168" s="289" t="s">
        <v>72</v>
      </c>
      <c r="I168" s="285"/>
      <c r="J168" s="285"/>
      <c r="K168" s="290"/>
      <c r="L168" s="291"/>
      <c r="M168" s="290"/>
      <c r="N168" s="292"/>
      <c r="O168" s="293"/>
      <c r="P168" s="293"/>
      <c r="Q168" s="294"/>
    </row>
    <row r="169" spans="1:17" s="295" customFormat="1" ht="33.75" customHeight="1">
      <c r="A169" s="16">
        <v>112</v>
      </c>
      <c r="B169" s="310" t="b">
        <v>0</v>
      </c>
      <c r="C169" s="285"/>
      <c r="D169" s="286" t="s">
        <v>479</v>
      </c>
      <c r="E169" s="287" t="s">
        <v>500</v>
      </c>
      <c r="F169" s="288"/>
      <c r="G169" s="289">
        <v>100</v>
      </c>
      <c r="H169" s="289" t="s">
        <v>72</v>
      </c>
      <c r="I169" s="285"/>
      <c r="J169" s="285"/>
      <c r="K169" s="290"/>
      <c r="L169" s="291"/>
      <c r="M169" s="290"/>
      <c r="N169" s="292"/>
      <c r="O169" s="293"/>
      <c r="P169" s="293"/>
      <c r="Q169" s="294"/>
    </row>
    <row r="170" spans="1:17" s="295" customFormat="1" ht="33.75" customHeight="1">
      <c r="A170" s="16">
        <v>113</v>
      </c>
      <c r="B170" s="310" t="b">
        <v>0</v>
      </c>
      <c r="C170" s="285"/>
      <c r="D170" s="286" t="s">
        <v>503</v>
      </c>
      <c r="E170" s="287" t="s">
        <v>504</v>
      </c>
      <c r="F170" s="288"/>
      <c r="G170" s="289">
        <v>100</v>
      </c>
      <c r="H170" s="289" t="s">
        <v>72</v>
      </c>
      <c r="I170" s="285"/>
      <c r="J170" s="285"/>
      <c r="K170" s="290"/>
      <c r="L170" s="291"/>
      <c r="M170" s="290"/>
      <c r="N170" s="296"/>
      <c r="O170" s="293"/>
      <c r="P170" s="293"/>
      <c r="Q170" s="294"/>
    </row>
    <row r="171" spans="1:17" ht="33.75" customHeight="1">
      <c r="A171" s="16">
        <v>114</v>
      </c>
      <c r="B171" s="310" t="b">
        <v>0</v>
      </c>
      <c r="C171" s="41"/>
      <c r="D171" s="18"/>
      <c r="E171" s="165" t="s">
        <v>399</v>
      </c>
      <c r="F171" s="26"/>
      <c r="G171" s="38"/>
      <c r="H171" s="26" t="s">
        <v>72</v>
      </c>
      <c r="I171" s="12"/>
      <c r="J171" s="12"/>
      <c r="K171" s="242"/>
      <c r="L171" s="245"/>
      <c r="M171" s="25"/>
      <c r="N171" s="159" t="s">
        <v>383</v>
      </c>
      <c r="O171" s="32"/>
      <c r="P171" s="32"/>
      <c r="Q171" s="33"/>
    </row>
    <row r="172" spans="1:17" ht="33.75" customHeight="1">
      <c r="A172" s="16">
        <v>115</v>
      </c>
      <c r="B172" s="310" t="b">
        <v>0</v>
      </c>
      <c r="C172" s="220" t="s">
        <v>419</v>
      </c>
      <c r="D172" s="221" t="s">
        <v>718</v>
      </c>
      <c r="E172" s="222" t="s">
        <v>229</v>
      </c>
      <c r="F172" s="224">
        <v>26</v>
      </c>
      <c r="G172" s="224">
        <v>1</v>
      </c>
      <c r="H172" s="224" t="s">
        <v>70</v>
      </c>
      <c r="I172" s="220"/>
      <c r="J172" s="220"/>
      <c r="K172" s="242"/>
      <c r="L172" s="245"/>
      <c r="M172" s="225"/>
      <c r="N172" s="229"/>
      <c r="O172" s="227"/>
      <c r="P172" s="227"/>
      <c r="Q172" s="228"/>
    </row>
    <row r="173" spans="1:17" ht="33.75" customHeight="1">
      <c r="A173" s="16"/>
      <c r="B173" s="310"/>
      <c r="C173" s="220"/>
      <c r="D173" s="221" t="s">
        <v>719</v>
      </c>
      <c r="E173" s="222" t="s">
        <v>720</v>
      </c>
      <c r="F173" s="224">
        <v>26</v>
      </c>
      <c r="G173" s="224">
        <v>2</v>
      </c>
      <c r="H173" s="224" t="s">
        <v>646</v>
      </c>
      <c r="I173" s="220"/>
      <c r="J173" s="220"/>
      <c r="K173" s="242"/>
      <c r="L173" s="245"/>
      <c r="M173" s="225"/>
      <c r="N173" s="229"/>
      <c r="O173" s="227"/>
      <c r="P173" s="227"/>
      <c r="Q173" s="228"/>
    </row>
    <row r="174" spans="1:17" ht="33.75" customHeight="1">
      <c r="A174" s="16"/>
      <c r="B174" s="310"/>
      <c r="C174" s="220"/>
      <c r="D174" s="221" t="s">
        <v>721</v>
      </c>
      <c r="E174" s="222" t="s">
        <v>722</v>
      </c>
      <c r="F174" s="224">
        <v>26</v>
      </c>
      <c r="G174" s="224">
        <v>4</v>
      </c>
      <c r="H174" s="224" t="s">
        <v>646</v>
      </c>
      <c r="I174" s="220"/>
      <c r="J174" s="220"/>
      <c r="K174" s="242"/>
      <c r="L174" s="245"/>
      <c r="M174" s="225"/>
      <c r="N174" s="229"/>
      <c r="O174" s="227"/>
      <c r="P174" s="227"/>
      <c r="Q174" s="228"/>
    </row>
    <row r="175" spans="1:17" ht="33.75" customHeight="1">
      <c r="A175" s="16"/>
      <c r="B175" s="310"/>
      <c r="C175" s="220"/>
      <c r="D175" s="221" t="s">
        <v>723</v>
      </c>
      <c r="E175" s="222" t="s">
        <v>724</v>
      </c>
      <c r="F175" s="224">
        <v>26</v>
      </c>
      <c r="G175" s="224">
        <v>2</v>
      </c>
      <c r="H175" s="224" t="s">
        <v>646</v>
      </c>
      <c r="I175" s="220"/>
      <c r="J175" s="220"/>
      <c r="K175" s="242"/>
      <c r="L175" s="245"/>
      <c r="M175" s="225"/>
      <c r="N175" s="229"/>
      <c r="O175" s="227"/>
      <c r="P175" s="227"/>
      <c r="Q175" s="228"/>
    </row>
    <row r="176" spans="1:17" ht="33.75" customHeight="1">
      <c r="A176" s="16"/>
      <c r="B176" s="310"/>
      <c r="C176" s="220"/>
      <c r="D176" s="221" t="s">
        <v>725</v>
      </c>
      <c r="E176" s="222" t="s">
        <v>726</v>
      </c>
      <c r="F176" s="224">
        <v>26</v>
      </c>
      <c r="G176" s="224">
        <v>1</v>
      </c>
      <c r="H176" s="224" t="s">
        <v>646</v>
      </c>
      <c r="I176" s="220"/>
      <c r="J176" s="220"/>
      <c r="K176" s="242"/>
      <c r="L176" s="245"/>
      <c r="M176" s="225"/>
      <c r="N176" s="229"/>
      <c r="O176" s="227"/>
      <c r="P176" s="227"/>
      <c r="Q176" s="228"/>
    </row>
    <row r="177" spans="1:17" ht="33.75" customHeight="1">
      <c r="A177" s="16"/>
      <c r="B177" s="310"/>
      <c r="C177" s="220"/>
      <c r="D177" s="221" t="s">
        <v>727</v>
      </c>
      <c r="E177" s="222" t="s">
        <v>728</v>
      </c>
      <c r="F177" s="224">
        <v>26</v>
      </c>
      <c r="G177" s="224">
        <v>2</v>
      </c>
      <c r="H177" s="224" t="s">
        <v>646</v>
      </c>
      <c r="I177" s="220"/>
      <c r="J177" s="220"/>
      <c r="K177" s="242"/>
      <c r="L177" s="245"/>
      <c r="M177" s="225"/>
      <c r="N177" s="229"/>
      <c r="O177" s="227"/>
      <c r="P177" s="227"/>
      <c r="Q177" s="228"/>
    </row>
    <row r="178" spans="1:17" ht="33.75" customHeight="1">
      <c r="A178" s="16"/>
      <c r="B178" s="310"/>
      <c r="C178" s="220"/>
      <c r="D178" s="221" t="s">
        <v>729</v>
      </c>
      <c r="E178" s="222" t="s">
        <v>730</v>
      </c>
      <c r="F178" s="224">
        <v>26</v>
      </c>
      <c r="G178" s="224">
        <v>1</v>
      </c>
      <c r="H178" s="224" t="s">
        <v>646</v>
      </c>
      <c r="I178" s="220"/>
      <c r="J178" s="220"/>
      <c r="K178" s="242"/>
      <c r="L178" s="245"/>
      <c r="M178" s="225"/>
      <c r="N178" s="229"/>
      <c r="O178" s="227"/>
      <c r="P178" s="227"/>
      <c r="Q178" s="228"/>
    </row>
    <row r="179" spans="1:17" ht="33.75" customHeight="1">
      <c r="A179" s="16"/>
      <c r="B179" s="310"/>
      <c r="C179" s="220"/>
      <c r="D179" s="221" t="s">
        <v>731</v>
      </c>
      <c r="E179" s="222" t="s">
        <v>732</v>
      </c>
      <c r="F179" s="224">
        <v>26</v>
      </c>
      <c r="G179" s="224">
        <v>1</v>
      </c>
      <c r="H179" s="224" t="s">
        <v>646</v>
      </c>
      <c r="I179" s="220"/>
      <c r="J179" s="220"/>
      <c r="K179" s="242"/>
      <c r="L179" s="245"/>
      <c r="M179" s="225"/>
      <c r="N179" s="229"/>
      <c r="O179" s="227"/>
      <c r="P179" s="227"/>
      <c r="Q179" s="228"/>
    </row>
    <row r="180" spans="1:17" ht="33.75" customHeight="1">
      <c r="A180" s="16"/>
      <c r="B180" s="310"/>
      <c r="C180" s="220"/>
      <c r="D180" s="221" t="s">
        <v>733</v>
      </c>
      <c r="E180" s="222" t="s">
        <v>734</v>
      </c>
      <c r="F180" s="224">
        <v>26</v>
      </c>
      <c r="G180" s="224">
        <v>1</v>
      </c>
      <c r="H180" s="224" t="s">
        <v>646</v>
      </c>
      <c r="I180" s="220"/>
      <c r="J180" s="220"/>
      <c r="K180" s="242"/>
      <c r="L180" s="245"/>
      <c r="M180" s="225"/>
      <c r="N180" s="229"/>
      <c r="O180" s="227"/>
      <c r="P180" s="227"/>
      <c r="Q180" s="228"/>
    </row>
    <row r="181" spans="1:17" ht="33.75" customHeight="1">
      <c r="A181" s="16">
        <v>116</v>
      </c>
      <c r="B181" s="310" t="b">
        <v>0</v>
      </c>
      <c r="C181" s="220" t="s">
        <v>419</v>
      </c>
      <c r="D181" s="221" t="s">
        <v>735</v>
      </c>
      <c r="E181" s="222" t="s">
        <v>737</v>
      </c>
      <c r="F181" s="224">
        <v>26</v>
      </c>
      <c r="G181" s="224">
        <v>1</v>
      </c>
      <c r="H181" s="224" t="s">
        <v>72</v>
      </c>
      <c r="I181" s="220"/>
      <c r="J181" s="220"/>
      <c r="K181" s="242"/>
      <c r="L181" s="245"/>
      <c r="M181" s="225"/>
      <c r="N181" s="231" t="s">
        <v>736</v>
      </c>
      <c r="O181" s="227"/>
      <c r="P181" s="227"/>
      <c r="Q181" s="228"/>
    </row>
    <row r="182" spans="1:17" ht="33.75" customHeight="1">
      <c r="A182" s="16">
        <v>117</v>
      </c>
      <c r="B182" s="310" t="b">
        <v>0</v>
      </c>
      <c r="C182" s="12"/>
      <c r="D182" s="18"/>
      <c r="E182" s="14" t="s">
        <v>230</v>
      </c>
      <c r="F182" s="26"/>
      <c r="G182" s="38"/>
      <c r="H182" s="26" t="s">
        <v>70</v>
      </c>
      <c r="I182" s="12"/>
      <c r="J182" s="12"/>
      <c r="K182" s="242"/>
      <c r="L182" s="245"/>
      <c r="M182" s="25"/>
      <c r="N182" s="31"/>
      <c r="O182" s="32"/>
      <c r="P182" s="32"/>
      <c r="Q182" s="33"/>
    </row>
    <row r="183" spans="1:17" ht="33.75" customHeight="1">
      <c r="A183" s="16">
        <v>118</v>
      </c>
      <c r="B183" s="310" t="b">
        <v>0</v>
      </c>
      <c r="C183" s="12"/>
      <c r="D183" s="18" t="s">
        <v>522</v>
      </c>
      <c r="E183" s="14" t="s">
        <v>231</v>
      </c>
      <c r="F183" s="26"/>
      <c r="G183" s="38">
        <v>1</v>
      </c>
      <c r="H183" s="26" t="s">
        <v>70</v>
      </c>
      <c r="I183" s="12"/>
      <c r="J183" s="12"/>
      <c r="K183" s="242"/>
      <c r="L183" s="245"/>
      <c r="M183" s="25"/>
      <c r="N183" s="31"/>
      <c r="O183" s="32"/>
      <c r="P183" s="32"/>
      <c r="Q183" s="33"/>
    </row>
    <row r="184" spans="1:17" ht="33.75" customHeight="1">
      <c r="A184" s="16">
        <v>119</v>
      </c>
      <c r="B184" s="310" t="b">
        <v>0</v>
      </c>
      <c r="C184" s="232"/>
      <c r="D184" s="233" t="s">
        <v>522</v>
      </c>
      <c r="E184" s="234" t="s">
        <v>261</v>
      </c>
      <c r="F184" s="235"/>
      <c r="G184" s="235"/>
      <c r="H184" s="235" t="s">
        <v>70</v>
      </c>
      <c r="I184" s="232"/>
      <c r="J184" s="232"/>
      <c r="K184" s="242"/>
      <c r="L184" s="245"/>
      <c r="M184" s="236"/>
      <c r="N184" s="237"/>
      <c r="O184" s="238"/>
      <c r="P184" s="238"/>
      <c r="Q184" s="239"/>
    </row>
    <row r="185" spans="1:17" ht="33.75" customHeight="1">
      <c r="A185" s="16">
        <v>120</v>
      </c>
      <c r="B185" s="310" t="b">
        <v>0</v>
      </c>
      <c r="C185" s="232"/>
      <c r="D185" s="233" t="s">
        <v>522</v>
      </c>
      <c r="E185" s="234" t="s">
        <v>523</v>
      </c>
      <c r="F185" s="235"/>
      <c r="G185" s="235"/>
      <c r="H185" s="235" t="s">
        <v>531</v>
      </c>
      <c r="I185" s="232"/>
      <c r="J185" s="232"/>
      <c r="K185" s="242"/>
      <c r="L185" s="245"/>
      <c r="M185" s="236"/>
      <c r="N185" s="237" t="s">
        <v>528</v>
      </c>
      <c r="O185" s="238"/>
      <c r="P185" s="238"/>
      <c r="Q185" s="239"/>
    </row>
    <row r="186" spans="1:17" ht="33.75" customHeight="1">
      <c r="A186" s="16">
        <v>121</v>
      </c>
      <c r="B186" s="310" t="b">
        <v>0</v>
      </c>
      <c r="C186" s="232"/>
      <c r="D186" s="233" t="s">
        <v>527</v>
      </c>
      <c r="E186" s="234" t="s">
        <v>524</v>
      </c>
      <c r="F186" s="235"/>
      <c r="G186" s="235"/>
      <c r="H186" s="235" t="s">
        <v>70</v>
      </c>
      <c r="I186" s="232"/>
      <c r="J186" s="232"/>
      <c r="K186" s="242"/>
      <c r="L186" s="245"/>
      <c r="M186" s="236"/>
      <c r="N186" s="237" t="s">
        <v>528</v>
      </c>
      <c r="O186" s="238"/>
      <c r="P186" s="238"/>
      <c r="Q186" s="239"/>
    </row>
    <row r="187" spans="1:17" ht="33.75" customHeight="1">
      <c r="A187" s="16">
        <v>122</v>
      </c>
      <c r="B187" s="310" t="b">
        <v>0</v>
      </c>
      <c r="C187" s="232"/>
      <c r="D187" s="233" t="s">
        <v>529</v>
      </c>
      <c r="E187" s="234" t="s">
        <v>530</v>
      </c>
      <c r="F187" s="235">
        <v>26</v>
      </c>
      <c r="G187" s="235">
        <v>8</v>
      </c>
      <c r="H187" s="235" t="s">
        <v>70</v>
      </c>
      <c r="I187" s="232"/>
      <c r="J187" s="232"/>
      <c r="K187" s="242"/>
      <c r="L187" s="245"/>
      <c r="M187" s="236"/>
      <c r="N187" s="237"/>
      <c r="O187" s="238"/>
      <c r="P187" s="238"/>
      <c r="Q187" s="239"/>
    </row>
    <row r="188" spans="1:17" ht="33.75" customHeight="1">
      <c r="A188" s="16">
        <v>123</v>
      </c>
      <c r="B188" s="310" t="b">
        <v>0</v>
      </c>
      <c r="C188" s="12"/>
      <c r="D188" s="18"/>
      <c r="E188" s="14" t="s">
        <v>288</v>
      </c>
      <c r="F188" s="26"/>
      <c r="G188" s="38"/>
      <c r="H188" s="26" t="s">
        <v>70</v>
      </c>
      <c r="I188" s="12"/>
      <c r="J188" s="12"/>
      <c r="K188" s="242"/>
      <c r="L188" s="245"/>
      <c r="M188" s="25"/>
      <c r="N188" s="31"/>
      <c r="O188" s="32"/>
      <c r="P188" s="32"/>
      <c r="Q188" s="33"/>
    </row>
    <row r="189" spans="1:17" ht="33.75" customHeight="1">
      <c r="A189" s="16">
        <v>124</v>
      </c>
      <c r="B189" s="310" t="b">
        <v>0</v>
      </c>
      <c r="C189" s="12" t="s">
        <v>58</v>
      </c>
      <c r="D189" s="18"/>
      <c r="E189" s="14" t="s">
        <v>203</v>
      </c>
      <c r="F189" s="26"/>
      <c r="G189" s="38"/>
      <c r="H189" s="26" t="s">
        <v>70</v>
      </c>
      <c r="I189" s="12"/>
      <c r="J189" s="12"/>
      <c r="K189" s="242"/>
      <c r="L189" s="245"/>
      <c r="M189" s="25"/>
      <c r="N189" s="31"/>
      <c r="O189" s="32"/>
      <c r="P189" s="32"/>
      <c r="Q189" s="33"/>
    </row>
    <row r="190" spans="1:17" ht="33.75" customHeight="1">
      <c r="A190" s="16">
        <v>125</v>
      </c>
      <c r="B190" s="310" t="b">
        <v>0</v>
      </c>
      <c r="C190" s="12"/>
      <c r="D190" s="18" t="s">
        <v>738</v>
      </c>
      <c r="E190" s="14" t="s">
        <v>242</v>
      </c>
      <c r="F190" s="26">
        <v>26</v>
      </c>
      <c r="G190" s="38">
        <v>1</v>
      </c>
      <c r="H190" s="26" t="s">
        <v>70</v>
      </c>
      <c r="I190" s="12"/>
      <c r="J190" s="12"/>
      <c r="K190" s="242"/>
      <c r="L190" s="245"/>
      <c r="M190" s="25"/>
      <c r="N190" s="31" t="s">
        <v>740</v>
      </c>
      <c r="O190" s="32"/>
      <c r="P190" s="32"/>
      <c r="Q190" s="33"/>
    </row>
    <row r="191" spans="1:17" ht="33.75" customHeight="1">
      <c r="A191" s="16">
        <v>126</v>
      </c>
      <c r="B191" s="310" t="b">
        <v>0</v>
      </c>
      <c r="C191" s="12"/>
      <c r="D191" s="192" t="s">
        <v>739</v>
      </c>
      <c r="E191" s="14" t="s">
        <v>242</v>
      </c>
      <c r="F191" s="26">
        <v>26</v>
      </c>
      <c r="G191" s="38">
        <v>2</v>
      </c>
      <c r="H191" s="26" t="s">
        <v>70</v>
      </c>
      <c r="I191" s="12"/>
      <c r="J191" s="12"/>
      <c r="K191" s="242"/>
      <c r="L191" s="245"/>
      <c r="M191" s="25"/>
      <c r="N191" s="31" t="s">
        <v>741</v>
      </c>
      <c r="O191" s="32"/>
      <c r="P191" s="32"/>
      <c r="Q191" s="33"/>
    </row>
    <row r="192" spans="1:17" ht="33.75" customHeight="1">
      <c r="A192" s="16">
        <v>127</v>
      </c>
      <c r="B192" s="310" t="b">
        <v>0</v>
      </c>
      <c r="C192" s="12"/>
      <c r="D192" s="18" t="s">
        <v>522</v>
      </c>
      <c r="E192" s="14" t="s">
        <v>330</v>
      </c>
      <c r="F192" s="26"/>
      <c r="G192" s="38"/>
      <c r="H192" s="26" t="s">
        <v>70</v>
      </c>
      <c r="I192" s="12"/>
      <c r="J192" s="12"/>
      <c r="K192" s="242"/>
      <c r="L192" s="245"/>
      <c r="M192" s="25"/>
      <c r="N192" s="31"/>
      <c r="O192" s="32"/>
      <c r="P192" s="32"/>
      <c r="Q192" s="33"/>
    </row>
    <row r="193" spans="1:17" ht="33.75" customHeight="1">
      <c r="A193" s="16">
        <v>128</v>
      </c>
      <c r="B193" s="310" t="b">
        <v>0</v>
      </c>
      <c r="C193" s="12"/>
      <c r="D193" s="18"/>
      <c r="E193" s="14" t="s">
        <v>287</v>
      </c>
      <c r="F193" s="26"/>
      <c r="G193" s="38"/>
      <c r="H193" s="26" t="s">
        <v>70</v>
      </c>
      <c r="I193" s="12"/>
      <c r="J193" s="12"/>
      <c r="K193" s="242"/>
      <c r="L193" s="245"/>
      <c r="M193" s="25"/>
      <c r="N193" s="31"/>
      <c r="O193" s="32"/>
      <c r="P193" s="32"/>
      <c r="Q193" s="33"/>
    </row>
    <row r="194" spans="1:17" ht="33.75" customHeight="1">
      <c r="A194" s="16">
        <v>129</v>
      </c>
      <c r="B194" s="310" t="b">
        <v>0</v>
      </c>
      <c r="C194" s="12"/>
      <c r="D194" s="18"/>
      <c r="E194" s="14" t="s">
        <v>199</v>
      </c>
      <c r="F194" s="26"/>
      <c r="G194" s="38"/>
      <c r="H194" s="26" t="s">
        <v>70</v>
      </c>
      <c r="I194" s="12"/>
      <c r="J194" s="12"/>
      <c r="K194" s="242"/>
      <c r="L194" s="245"/>
      <c r="M194" s="25"/>
      <c r="N194" s="31"/>
      <c r="O194" s="32"/>
      <c r="P194" s="32"/>
      <c r="Q194" s="33"/>
    </row>
    <row r="195" spans="1:17" ht="33.75" customHeight="1">
      <c r="A195" s="16">
        <v>130</v>
      </c>
      <c r="B195" s="310" t="b">
        <v>0</v>
      </c>
      <c r="C195" s="12"/>
      <c r="D195" s="18"/>
      <c r="E195" s="14" t="s">
        <v>233</v>
      </c>
      <c r="F195" s="26"/>
      <c r="G195" s="38"/>
      <c r="H195" s="26" t="s">
        <v>70</v>
      </c>
      <c r="I195" s="12"/>
      <c r="J195" s="12"/>
      <c r="K195" s="242"/>
      <c r="L195" s="245"/>
      <c r="M195" s="25"/>
      <c r="N195" s="31"/>
      <c r="O195" s="32"/>
      <c r="P195" s="32"/>
      <c r="Q195" s="33"/>
    </row>
    <row r="196" spans="1:17" ht="33.75" customHeight="1">
      <c r="A196" s="16">
        <v>131</v>
      </c>
      <c r="B196" s="310" t="b">
        <v>0</v>
      </c>
      <c r="C196" s="12"/>
      <c r="D196" s="18"/>
      <c r="E196" s="14" t="s">
        <v>232</v>
      </c>
      <c r="F196" s="26"/>
      <c r="G196" s="38"/>
      <c r="H196" s="26" t="s">
        <v>70</v>
      </c>
      <c r="I196" s="12"/>
      <c r="J196" s="12"/>
      <c r="K196" s="242"/>
      <c r="L196" s="245"/>
      <c r="M196" s="25"/>
      <c r="N196" s="31"/>
      <c r="O196" s="32"/>
      <c r="P196" s="32"/>
      <c r="Q196" s="33"/>
    </row>
    <row r="197" spans="1:17" ht="33.75" customHeight="1">
      <c r="A197" s="16">
        <v>132</v>
      </c>
      <c r="B197" s="310" t="b">
        <v>0</v>
      </c>
      <c r="C197" s="12"/>
      <c r="D197" s="18"/>
      <c r="E197" s="14" t="s">
        <v>200</v>
      </c>
      <c r="F197" s="26"/>
      <c r="G197" s="38"/>
      <c r="H197" s="26" t="s">
        <v>70</v>
      </c>
      <c r="I197" s="12"/>
      <c r="J197" s="12"/>
      <c r="K197" s="242"/>
      <c r="L197" s="245"/>
      <c r="M197" s="25"/>
      <c r="N197" s="31"/>
      <c r="O197" s="32"/>
      <c r="P197" s="32"/>
      <c r="Q197" s="33"/>
    </row>
    <row r="198" spans="1:17" ht="33.75" customHeight="1">
      <c r="A198" s="16">
        <v>133</v>
      </c>
      <c r="B198" s="310" t="b">
        <v>0</v>
      </c>
      <c r="C198" s="12"/>
      <c r="D198" s="18"/>
      <c r="E198" s="154" t="s">
        <v>201</v>
      </c>
      <c r="F198" s="40"/>
      <c r="G198" s="38"/>
      <c r="H198" s="40" t="s">
        <v>70</v>
      </c>
      <c r="I198" s="12"/>
      <c r="J198" s="12"/>
      <c r="K198" s="242"/>
      <c r="L198" s="245"/>
      <c r="M198" s="25"/>
      <c r="N198" s="31"/>
      <c r="O198" s="32"/>
      <c r="P198" s="32"/>
      <c r="Q198" s="33"/>
    </row>
    <row r="199" spans="1:17" ht="33.75" customHeight="1">
      <c r="A199" s="16">
        <v>134</v>
      </c>
      <c r="B199" s="310" t="b">
        <v>0</v>
      </c>
      <c r="C199" s="12" t="s">
        <v>57</v>
      </c>
      <c r="D199" s="18"/>
      <c r="E199" s="14" t="s">
        <v>289</v>
      </c>
      <c r="F199" s="26"/>
      <c r="G199" s="38"/>
      <c r="H199" s="26" t="s">
        <v>70</v>
      </c>
      <c r="I199" s="12"/>
      <c r="J199" s="12"/>
      <c r="K199" s="242"/>
      <c r="L199" s="245"/>
      <c r="M199" s="25"/>
      <c r="N199" s="31"/>
      <c r="O199" s="32"/>
      <c r="P199" s="32"/>
      <c r="Q199" s="33"/>
    </row>
    <row r="200" spans="1:17" ht="33.75" customHeight="1">
      <c r="A200" s="16">
        <v>135</v>
      </c>
      <c r="B200" s="310" t="b">
        <v>0</v>
      </c>
      <c r="C200" s="12" t="s">
        <v>59</v>
      </c>
      <c r="D200" s="18"/>
      <c r="E200" s="14" t="s">
        <v>205</v>
      </c>
      <c r="F200" s="26"/>
      <c r="G200" s="38"/>
      <c r="H200" s="26" t="s">
        <v>70</v>
      </c>
      <c r="I200" s="12"/>
      <c r="J200" s="12"/>
      <c r="K200" s="242"/>
      <c r="L200" s="245"/>
      <c r="M200" s="25"/>
      <c r="N200" s="31" t="s">
        <v>226</v>
      </c>
      <c r="O200" s="32"/>
      <c r="P200" s="32"/>
      <c r="Q200" s="33"/>
    </row>
    <row r="201" spans="1:17" ht="33.75" customHeight="1">
      <c r="A201" s="16">
        <v>136</v>
      </c>
      <c r="B201" s="310" t="b">
        <v>0</v>
      </c>
      <c r="C201" s="12" t="s">
        <v>60</v>
      </c>
      <c r="D201" s="18"/>
      <c r="E201" s="14" t="s">
        <v>291</v>
      </c>
      <c r="F201" s="26"/>
      <c r="G201" s="38"/>
      <c r="H201" s="26" t="s">
        <v>70</v>
      </c>
      <c r="I201" s="12"/>
      <c r="J201" s="12"/>
      <c r="K201" s="242"/>
      <c r="L201" s="245"/>
      <c r="M201" s="25"/>
      <c r="N201" s="31"/>
      <c r="O201" s="32"/>
      <c r="P201" s="32"/>
      <c r="Q201" s="33"/>
    </row>
    <row r="202" spans="1:17" ht="33.75" customHeight="1">
      <c r="A202" s="16">
        <v>137</v>
      </c>
      <c r="B202" s="310" t="b">
        <v>0</v>
      </c>
      <c r="C202" s="12"/>
      <c r="D202" s="18"/>
      <c r="E202" s="14" t="s">
        <v>296</v>
      </c>
      <c r="F202" s="26"/>
      <c r="G202" s="38"/>
      <c r="H202" s="26" t="s">
        <v>70</v>
      </c>
      <c r="I202" s="12"/>
      <c r="J202" s="12"/>
      <c r="K202" s="242"/>
      <c r="L202" s="245"/>
      <c r="M202" s="25"/>
      <c r="N202" s="31"/>
      <c r="O202" s="32"/>
      <c r="P202" s="32"/>
      <c r="Q202" s="33"/>
    </row>
    <row r="203" spans="1:17" ht="33.75" customHeight="1">
      <c r="A203" s="16">
        <v>138</v>
      </c>
      <c r="B203" s="310" t="b">
        <v>0</v>
      </c>
      <c r="C203" s="12"/>
      <c r="D203" s="18"/>
      <c r="E203" s="14" t="s">
        <v>302</v>
      </c>
      <c r="F203" s="26"/>
      <c r="G203" s="38"/>
      <c r="H203" s="26" t="s">
        <v>70</v>
      </c>
      <c r="I203" s="12"/>
      <c r="J203" s="12"/>
      <c r="K203" s="242"/>
      <c r="L203" s="245"/>
      <c r="M203" s="25"/>
      <c r="N203" s="31"/>
      <c r="O203" s="32"/>
      <c r="P203" s="32"/>
      <c r="Q203" s="33"/>
    </row>
    <row r="204" spans="1:17" ht="33.75" customHeight="1">
      <c r="A204" s="16">
        <v>139</v>
      </c>
      <c r="B204" s="310" t="b">
        <v>0</v>
      </c>
      <c r="C204" s="12"/>
      <c r="D204" s="18"/>
      <c r="E204" s="14" t="s">
        <v>304</v>
      </c>
      <c r="F204" s="26"/>
      <c r="G204" s="38"/>
      <c r="H204" s="26" t="s">
        <v>70</v>
      </c>
      <c r="I204" s="12"/>
      <c r="J204" s="12"/>
      <c r="K204" s="242"/>
      <c r="L204" s="245"/>
      <c r="M204" s="25"/>
      <c r="N204" s="31"/>
      <c r="O204" s="32"/>
      <c r="P204" s="32"/>
      <c r="Q204" s="33"/>
    </row>
    <row r="205" spans="1:17" ht="33.75" customHeight="1">
      <c r="A205" s="16">
        <v>140</v>
      </c>
      <c r="B205" s="310" t="b">
        <v>0</v>
      </c>
      <c r="C205" s="12"/>
      <c r="D205" s="18"/>
      <c r="E205" s="154" t="s">
        <v>302</v>
      </c>
      <c r="F205" s="26"/>
      <c r="G205" s="38"/>
      <c r="H205" s="37" t="s">
        <v>70</v>
      </c>
      <c r="I205" s="12"/>
      <c r="J205" s="12"/>
      <c r="K205" s="242"/>
      <c r="L205" s="245"/>
      <c r="M205" s="25"/>
      <c r="N205" s="31"/>
      <c r="O205" s="32"/>
      <c r="P205" s="32"/>
      <c r="Q205" s="33"/>
    </row>
    <row r="206" spans="1:17" ht="33.75" customHeight="1">
      <c r="A206" s="16">
        <v>141</v>
      </c>
      <c r="B206" s="310" t="b">
        <v>0</v>
      </c>
      <c r="C206" s="12"/>
      <c r="D206" s="18"/>
      <c r="E206" s="14" t="s">
        <v>320</v>
      </c>
      <c r="F206" s="26"/>
      <c r="G206" s="38"/>
      <c r="H206" s="26" t="s">
        <v>70</v>
      </c>
      <c r="I206" s="12"/>
      <c r="J206" s="12"/>
      <c r="K206" s="242"/>
      <c r="L206" s="245"/>
      <c r="M206" s="25"/>
      <c r="N206" s="31"/>
      <c r="O206" s="32"/>
      <c r="P206" s="32"/>
      <c r="Q206" s="33"/>
    </row>
    <row r="207" spans="1:17" ht="33.75" customHeight="1">
      <c r="A207" s="16">
        <v>142</v>
      </c>
      <c r="B207" s="310" t="b">
        <v>0</v>
      </c>
      <c r="C207" s="12"/>
      <c r="D207" s="18" t="s">
        <v>489</v>
      </c>
      <c r="E207" s="14" t="s">
        <v>321</v>
      </c>
      <c r="F207" s="26"/>
      <c r="G207" s="38">
        <v>1</v>
      </c>
      <c r="H207" s="26" t="s">
        <v>70</v>
      </c>
      <c r="I207" s="12"/>
      <c r="J207" s="12"/>
      <c r="K207" s="242"/>
      <c r="L207" s="245"/>
      <c r="M207" s="25"/>
      <c r="N207" s="31"/>
      <c r="O207" s="32"/>
      <c r="P207" s="32"/>
      <c r="Q207" s="33"/>
    </row>
    <row r="208" spans="1:17" ht="33.75" customHeight="1">
      <c r="A208" s="16">
        <v>143</v>
      </c>
      <c r="B208" s="310" t="b">
        <v>0</v>
      </c>
      <c r="C208" s="12"/>
      <c r="D208" s="18"/>
      <c r="E208" s="154" t="s">
        <v>287</v>
      </c>
      <c r="F208" s="26"/>
      <c r="G208" s="38"/>
      <c r="H208" s="26" t="s">
        <v>70</v>
      </c>
      <c r="I208" s="12"/>
      <c r="J208" s="12"/>
      <c r="K208" s="242"/>
      <c r="L208" s="245"/>
      <c r="M208" s="25"/>
      <c r="N208" s="31"/>
      <c r="O208" s="32"/>
      <c r="P208" s="32"/>
      <c r="Q208" s="33"/>
    </row>
    <row r="209" spans="1:17" ht="33.75" customHeight="1">
      <c r="A209" s="16">
        <v>144</v>
      </c>
      <c r="B209" s="310" t="b">
        <v>0</v>
      </c>
      <c r="C209" s="12"/>
      <c r="D209" s="18"/>
      <c r="E209" s="154" t="s">
        <v>232</v>
      </c>
      <c r="F209" s="26"/>
      <c r="G209" s="38"/>
      <c r="H209" s="26" t="s">
        <v>70</v>
      </c>
      <c r="I209" s="12"/>
      <c r="J209" s="12"/>
      <c r="K209" s="242"/>
      <c r="L209" s="245"/>
      <c r="M209" s="25"/>
      <c r="N209" s="31"/>
      <c r="O209" s="32"/>
      <c r="P209" s="32"/>
      <c r="Q209" s="33"/>
    </row>
    <row r="210" spans="1:17" ht="33.75" customHeight="1">
      <c r="A210" s="16">
        <v>145</v>
      </c>
      <c r="B210" s="310" t="b">
        <v>0</v>
      </c>
      <c r="C210" s="12" t="s">
        <v>59</v>
      </c>
      <c r="D210" s="18"/>
      <c r="E210" s="154" t="s">
        <v>205</v>
      </c>
      <c r="F210" s="26"/>
      <c r="G210" s="38"/>
      <c r="H210" s="26" t="s">
        <v>70</v>
      </c>
      <c r="I210" s="12"/>
      <c r="J210" s="12"/>
      <c r="K210" s="242"/>
      <c r="L210" s="245"/>
      <c r="M210" s="25"/>
      <c r="N210" s="31"/>
      <c r="O210" s="32"/>
      <c r="P210" s="32"/>
      <c r="Q210" s="33"/>
    </row>
    <row r="211" spans="1:17" ht="33.75" customHeight="1">
      <c r="A211" s="16">
        <v>146</v>
      </c>
      <c r="B211" s="310" t="b">
        <v>0</v>
      </c>
      <c r="C211" s="12" t="s">
        <v>370</v>
      </c>
      <c r="D211" s="18"/>
      <c r="E211" s="154" t="s">
        <v>289</v>
      </c>
      <c r="F211" s="26"/>
      <c r="G211" s="38"/>
      <c r="H211" s="26" t="s">
        <v>70</v>
      </c>
      <c r="I211" s="12"/>
      <c r="J211" s="12"/>
      <c r="K211" s="242"/>
      <c r="L211" s="245"/>
      <c r="M211" s="25"/>
      <c r="N211" s="31"/>
      <c r="O211" s="32"/>
      <c r="P211" s="32"/>
      <c r="Q211" s="33"/>
    </row>
    <row r="212" spans="1:17" ht="33.75" customHeight="1">
      <c r="A212" s="16">
        <v>147</v>
      </c>
      <c r="B212" s="310" t="b">
        <v>0</v>
      </c>
      <c r="C212" s="12" t="s">
        <v>488</v>
      </c>
      <c r="D212" s="18" t="s">
        <v>742</v>
      </c>
      <c r="E212" s="14" t="s">
        <v>186</v>
      </c>
      <c r="F212" s="26">
        <v>26</v>
      </c>
      <c r="G212" s="38">
        <v>2</v>
      </c>
      <c r="H212" s="26" t="s">
        <v>70</v>
      </c>
      <c r="I212" s="12"/>
      <c r="J212" s="12"/>
      <c r="K212" s="242"/>
      <c r="L212" s="245"/>
      <c r="M212" s="25"/>
      <c r="N212" s="31" t="s">
        <v>743</v>
      </c>
      <c r="O212" s="32"/>
      <c r="P212" s="32"/>
      <c r="Q212" s="33"/>
    </row>
    <row r="213" spans="1:17" ht="33.75" customHeight="1">
      <c r="A213" s="16">
        <v>148</v>
      </c>
      <c r="B213" s="310" t="b">
        <v>0</v>
      </c>
      <c r="C213" s="12" t="s">
        <v>744</v>
      </c>
      <c r="D213" s="198" t="s">
        <v>515</v>
      </c>
      <c r="E213" s="14" t="s">
        <v>186</v>
      </c>
      <c r="F213" s="26">
        <v>26</v>
      </c>
      <c r="G213" s="38">
        <v>1</v>
      </c>
      <c r="H213" s="26" t="s">
        <v>70</v>
      </c>
      <c r="I213" s="12"/>
      <c r="J213" s="12"/>
      <c r="K213" s="242"/>
      <c r="L213" s="245"/>
      <c r="M213" s="25"/>
      <c r="N213" s="28" t="s">
        <v>248</v>
      </c>
      <c r="O213" s="32"/>
      <c r="P213" s="32"/>
      <c r="Q213" s="33"/>
    </row>
    <row r="214" spans="1:17" ht="33.75" customHeight="1">
      <c r="A214" s="16">
        <v>150</v>
      </c>
      <c r="B214" s="310" t="b">
        <v>0</v>
      </c>
      <c r="C214" s="12" t="s">
        <v>56</v>
      </c>
      <c r="D214" s="18" t="s">
        <v>630</v>
      </c>
      <c r="E214" s="14" t="s">
        <v>334</v>
      </c>
      <c r="F214" s="26">
        <v>26</v>
      </c>
      <c r="G214" s="38">
        <v>1</v>
      </c>
      <c r="H214" s="26" t="s">
        <v>70</v>
      </c>
      <c r="I214" s="12"/>
      <c r="J214" s="12"/>
      <c r="K214" s="242"/>
      <c r="L214" s="245"/>
      <c r="M214" s="25"/>
      <c r="N214" s="31"/>
      <c r="O214" s="32"/>
      <c r="P214" s="32"/>
      <c r="Q214" s="33"/>
    </row>
    <row r="215" spans="1:17" ht="33.75" customHeight="1">
      <c r="A215" s="16">
        <v>149</v>
      </c>
      <c r="B215" s="310" t="b">
        <v>0</v>
      </c>
      <c r="C215" s="12" t="s">
        <v>55</v>
      </c>
      <c r="D215" s="198" t="s">
        <v>748</v>
      </c>
      <c r="E215" s="14" t="s">
        <v>187</v>
      </c>
      <c r="F215" s="26">
        <v>26</v>
      </c>
      <c r="G215" s="38">
        <v>1</v>
      </c>
      <c r="H215" s="26" t="s">
        <v>70</v>
      </c>
      <c r="I215" s="12"/>
      <c r="J215" s="12"/>
      <c r="K215" s="242"/>
      <c r="L215" s="245"/>
      <c r="M215" s="25"/>
      <c r="N215" s="31"/>
      <c r="O215" s="32"/>
      <c r="P215" s="32"/>
      <c r="Q215" s="33"/>
    </row>
    <row r="216" spans="1:17" ht="33.75" customHeight="1">
      <c r="A216" s="16">
        <v>150</v>
      </c>
      <c r="B216" s="310" t="b">
        <v>0</v>
      </c>
      <c r="C216" s="12" t="s">
        <v>56</v>
      </c>
      <c r="D216" s="18" t="s">
        <v>375</v>
      </c>
      <c r="E216" s="14" t="s">
        <v>334</v>
      </c>
      <c r="F216" s="26"/>
      <c r="G216" s="38">
        <v>2</v>
      </c>
      <c r="H216" s="26" t="s">
        <v>70</v>
      </c>
      <c r="I216" s="12"/>
      <c r="J216" s="12"/>
      <c r="K216" s="242"/>
      <c r="L216" s="245"/>
      <c r="M216" s="25"/>
      <c r="N216" s="31"/>
      <c r="O216" s="32"/>
      <c r="P216" s="32"/>
      <c r="Q216" s="33"/>
    </row>
    <row r="217" spans="1:17" ht="33.75" customHeight="1">
      <c r="A217" s="16">
        <v>151</v>
      </c>
      <c r="B217" s="310" t="b">
        <v>0</v>
      </c>
      <c r="C217" s="12"/>
      <c r="D217" s="18" t="s">
        <v>486</v>
      </c>
      <c r="E217" s="14" t="s">
        <v>188</v>
      </c>
      <c r="F217" s="26"/>
      <c r="G217" s="38">
        <v>1</v>
      </c>
      <c r="H217" s="26" t="s">
        <v>72</v>
      </c>
      <c r="I217" s="12"/>
      <c r="J217" s="12"/>
      <c r="K217" s="242"/>
      <c r="L217" s="245"/>
      <c r="M217" s="25"/>
      <c r="N217" s="28" t="s">
        <v>383</v>
      </c>
      <c r="O217" s="32"/>
      <c r="P217" s="32"/>
      <c r="Q217" s="33"/>
    </row>
    <row r="218" spans="1:17" ht="33.75" customHeight="1">
      <c r="A218" s="16">
        <v>152</v>
      </c>
      <c r="B218" s="310" t="b">
        <v>0</v>
      </c>
      <c r="C218" s="12" t="s">
        <v>55</v>
      </c>
      <c r="D218" s="18"/>
      <c r="E218" s="14" t="s">
        <v>400</v>
      </c>
      <c r="F218" s="26"/>
      <c r="G218" s="38"/>
      <c r="H218" s="26" t="s">
        <v>70</v>
      </c>
      <c r="I218" s="12"/>
      <c r="J218" s="12"/>
      <c r="K218" s="242"/>
      <c r="L218" s="245"/>
      <c r="M218" s="25"/>
      <c r="N218" s="31"/>
      <c r="O218" s="32"/>
      <c r="P218" s="32"/>
      <c r="Q218" s="33"/>
    </row>
    <row r="219" spans="1:17" ht="33.75" customHeight="1">
      <c r="A219" s="16">
        <v>153</v>
      </c>
      <c r="B219" s="310" t="b">
        <v>0</v>
      </c>
      <c r="C219" s="12" t="s">
        <v>56</v>
      </c>
      <c r="D219" s="18"/>
      <c r="E219" s="14" t="s">
        <v>334</v>
      </c>
      <c r="F219" s="26"/>
      <c r="G219" s="38"/>
      <c r="H219" s="26" t="s">
        <v>70</v>
      </c>
      <c r="I219" s="12"/>
      <c r="J219" s="12"/>
      <c r="K219" s="242"/>
      <c r="L219" s="245"/>
      <c r="M219" s="25"/>
      <c r="N219" s="31"/>
      <c r="O219" s="32"/>
      <c r="P219" s="32"/>
      <c r="Q219" s="33"/>
    </row>
    <row r="220" spans="1:17" ht="33.75" customHeight="1">
      <c r="A220" s="16">
        <v>154</v>
      </c>
      <c r="B220" s="310" t="b">
        <v>0</v>
      </c>
      <c r="C220" s="12"/>
      <c r="D220" s="18"/>
      <c r="E220" s="14" t="s">
        <v>188</v>
      </c>
      <c r="F220" s="26"/>
      <c r="G220" s="38"/>
      <c r="H220" s="26" t="s">
        <v>72</v>
      </c>
      <c r="I220" s="12"/>
      <c r="J220" s="12"/>
      <c r="K220" s="242"/>
      <c r="L220" s="245"/>
      <c r="M220" s="25"/>
      <c r="N220" s="28" t="s">
        <v>384</v>
      </c>
      <c r="O220" s="32"/>
      <c r="P220" s="32"/>
      <c r="Q220" s="33"/>
    </row>
    <row r="221" spans="1:17" ht="33.75" customHeight="1">
      <c r="A221" s="16">
        <v>155</v>
      </c>
      <c r="B221" s="310" t="b">
        <v>0</v>
      </c>
      <c r="C221" s="55"/>
      <c r="D221" s="153" t="s">
        <v>475</v>
      </c>
      <c r="E221" s="154" t="s">
        <v>262</v>
      </c>
      <c r="F221" s="40"/>
      <c r="G221" s="38">
        <v>9</v>
      </c>
      <c r="H221" s="40" t="s">
        <v>72</v>
      </c>
      <c r="I221" s="55"/>
      <c r="J221" s="55"/>
      <c r="K221" s="243"/>
      <c r="L221" s="246"/>
      <c r="M221" s="180"/>
      <c r="N221" s="160"/>
      <c r="O221" s="161"/>
      <c r="P221" s="161"/>
      <c r="Q221" s="162"/>
    </row>
    <row r="222" spans="1:17" ht="33.75" customHeight="1">
      <c r="A222" s="16">
        <v>156</v>
      </c>
      <c r="B222" s="310" t="b">
        <v>0</v>
      </c>
      <c r="C222" s="12"/>
      <c r="D222" s="18"/>
      <c r="E222" s="154" t="s">
        <v>264</v>
      </c>
      <c r="F222" s="40"/>
      <c r="G222" s="38"/>
      <c r="H222" s="26" t="s">
        <v>70</v>
      </c>
      <c r="I222" s="12"/>
      <c r="J222" s="12"/>
      <c r="K222" s="242"/>
      <c r="L222" s="245"/>
      <c r="M222" s="25"/>
      <c r="N222" s="28" t="s">
        <v>62</v>
      </c>
      <c r="O222" s="29"/>
      <c r="P222" s="29"/>
      <c r="Q222" s="30"/>
    </row>
    <row r="223" spans="1:17" ht="33.75" customHeight="1">
      <c r="A223" s="16">
        <v>157</v>
      </c>
      <c r="B223" s="310" t="b">
        <v>0</v>
      </c>
      <c r="C223" s="12" t="s">
        <v>37</v>
      </c>
      <c r="D223" s="18"/>
      <c r="E223" s="154" t="s">
        <v>265</v>
      </c>
      <c r="F223" s="40"/>
      <c r="G223" s="38"/>
      <c r="H223" s="26" t="s">
        <v>70</v>
      </c>
      <c r="I223" s="12"/>
      <c r="J223" s="12"/>
      <c r="K223" s="242"/>
      <c r="L223" s="245"/>
      <c r="M223" s="25"/>
      <c r="N223" s="28" t="s">
        <v>62</v>
      </c>
      <c r="O223" s="29"/>
      <c r="P223" s="29"/>
      <c r="Q223" s="30"/>
    </row>
    <row r="224" spans="1:17" ht="33.75" customHeight="1">
      <c r="A224" s="16">
        <v>158</v>
      </c>
      <c r="B224" s="310" t="b">
        <v>0</v>
      </c>
      <c r="C224" s="12"/>
      <c r="D224" s="18"/>
      <c r="E224" s="154" t="s">
        <v>266</v>
      </c>
      <c r="F224" s="40"/>
      <c r="G224" s="38"/>
      <c r="H224" s="26" t="s">
        <v>70</v>
      </c>
      <c r="I224" s="12"/>
      <c r="J224" s="12"/>
      <c r="K224" s="242"/>
      <c r="L224" s="245"/>
      <c r="M224" s="25"/>
      <c r="N224" s="28" t="s">
        <v>62</v>
      </c>
      <c r="O224" s="29"/>
      <c r="P224" s="29"/>
      <c r="Q224" s="30"/>
    </row>
    <row r="225" spans="1:17" ht="33.75" customHeight="1">
      <c r="A225" s="16">
        <v>159</v>
      </c>
      <c r="B225" s="310" t="b">
        <v>0</v>
      </c>
      <c r="C225" s="12" t="s">
        <v>435</v>
      </c>
      <c r="D225" s="18" t="s">
        <v>492</v>
      </c>
      <c r="E225" s="154" t="s">
        <v>267</v>
      </c>
      <c r="F225" s="40"/>
      <c r="G225" s="38">
        <v>3</v>
      </c>
      <c r="H225" s="26" t="s">
        <v>70</v>
      </c>
      <c r="I225" s="12"/>
      <c r="J225" s="12"/>
      <c r="K225" s="242"/>
      <c r="L225" s="245"/>
      <c r="M225" s="25"/>
      <c r="N225" s="28" t="s">
        <v>62</v>
      </c>
      <c r="O225" s="29"/>
      <c r="P225" s="29"/>
      <c r="Q225" s="30"/>
    </row>
    <row r="226" spans="1:17" ht="33.75" customHeight="1">
      <c r="A226" s="16">
        <v>160</v>
      </c>
      <c r="B226" s="310" t="b">
        <v>0</v>
      </c>
      <c r="C226" s="12" t="s">
        <v>491</v>
      </c>
      <c r="D226" s="18" t="s">
        <v>493</v>
      </c>
      <c r="E226" s="154" t="s">
        <v>267</v>
      </c>
      <c r="F226" s="40"/>
      <c r="G226" s="38">
        <v>4</v>
      </c>
      <c r="H226" s="26" t="s">
        <v>70</v>
      </c>
      <c r="I226" s="12"/>
      <c r="J226" s="12"/>
      <c r="K226" s="242"/>
      <c r="L226" s="245"/>
      <c r="M226" s="25"/>
      <c r="N226" s="28"/>
      <c r="O226" s="29"/>
      <c r="P226" s="29"/>
      <c r="Q226" s="30"/>
    </row>
    <row r="227" spans="1:17" ht="33.75" customHeight="1">
      <c r="A227" s="16">
        <v>161</v>
      </c>
      <c r="B227" s="310" t="b">
        <v>0</v>
      </c>
      <c r="C227" s="12"/>
      <c r="D227" s="18"/>
      <c r="E227" s="154" t="s">
        <v>268</v>
      </c>
      <c r="F227" s="40"/>
      <c r="G227" s="38"/>
      <c r="H227" s="26" t="s">
        <v>70</v>
      </c>
      <c r="I227" s="12"/>
      <c r="J227" s="12"/>
      <c r="K227" s="242"/>
      <c r="L227" s="245"/>
      <c r="M227" s="25"/>
      <c r="N227" s="28" t="s">
        <v>62</v>
      </c>
      <c r="O227" s="29"/>
      <c r="P227" s="29"/>
      <c r="Q227" s="30"/>
    </row>
    <row r="228" spans="1:17" ht="33.75" customHeight="1">
      <c r="A228" s="16">
        <v>162</v>
      </c>
      <c r="B228" s="310" t="b">
        <v>0</v>
      </c>
      <c r="C228" s="12"/>
      <c r="D228" s="18"/>
      <c r="E228" s="154" t="s">
        <v>269</v>
      </c>
      <c r="F228" s="40"/>
      <c r="G228" s="38"/>
      <c r="H228" s="26" t="s">
        <v>70</v>
      </c>
      <c r="I228" s="12"/>
      <c r="J228" s="12"/>
      <c r="K228" s="242"/>
      <c r="L228" s="245"/>
      <c r="M228" s="25"/>
      <c r="N228" s="28" t="s">
        <v>62</v>
      </c>
      <c r="O228" s="29"/>
      <c r="P228" s="29"/>
      <c r="Q228" s="30"/>
    </row>
    <row r="229" spans="1:17" ht="33.75" customHeight="1">
      <c r="A229" s="16">
        <v>163</v>
      </c>
      <c r="B229" s="310" t="b">
        <v>0</v>
      </c>
      <c r="C229" s="12"/>
      <c r="D229" s="18"/>
      <c r="E229" s="154" t="s">
        <v>270</v>
      </c>
      <c r="F229" s="40"/>
      <c r="G229" s="38"/>
      <c r="H229" s="26" t="s">
        <v>70</v>
      </c>
      <c r="I229" s="12"/>
      <c r="J229" s="12"/>
      <c r="K229" s="242"/>
      <c r="L229" s="245"/>
      <c r="M229" s="25"/>
      <c r="N229" s="28" t="s">
        <v>62</v>
      </c>
      <c r="O229" s="29"/>
      <c r="P229" s="29"/>
      <c r="Q229" s="30"/>
    </row>
    <row r="230" spans="1:17" ht="33.75" customHeight="1">
      <c r="A230" s="16">
        <v>164</v>
      </c>
      <c r="B230" s="310" t="b">
        <v>0</v>
      </c>
      <c r="C230" s="12"/>
      <c r="D230" s="18"/>
      <c r="E230" s="154" t="s">
        <v>271</v>
      </c>
      <c r="F230" s="40"/>
      <c r="G230" s="38"/>
      <c r="H230" s="26" t="s">
        <v>70</v>
      </c>
      <c r="I230" s="12"/>
      <c r="J230" s="12"/>
      <c r="K230" s="242"/>
      <c r="L230" s="245"/>
      <c r="M230" s="25"/>
      <c r="N230" s="28" t="s">
        <v>62</v>
      </c>
      <c r="O230" s="29"/>
      <c r="P230" s="29"/>
      <c r="Q230" s="30"/>
    </row>
    <row r="231" spans="1:17" ht="33.75" customHeight="1">
      <c r="A231" s="16">
        <v>165</v>
      </c>
      <c r="B231" s="310" t="b">
        <v>0</v>
      </c>
      <c r="C231" s="12" t="s">
        <v>44</v>
      </c>
      <c r="D231" s="18"/>
      <c r="E231" s="154" t="s">
        <v>272</v>
      </c>
      <c r="F231" s="40"/>
      <c r="G231" s="38"/>
      <c r="H231" s="26" t="s">
        <v>70</v>
      </c>
      <c r="I231" s="12"/>
      <c r="J231" s="12"/>
      <c r="K231" s="242"/>
      <c r="L231" s="245"/>
      <c r="M231" s="25"/>
      <c r="N231" s="28" t="s">
        <v>62</v>
      </c>
      <c r="O231" s="29"/>
      <c r="P231" s="29"/>
      <c r="Q231" s="30"/>
    </row>
    <row r="232" spans="1:17" ht="33.75" customHeight="1">
      <c r="A232" s="16">
        <v>166</v>
      </c>
      <c r="B232" s="310" t="b">
        <v>0</v>
      </c>
      <c r="C232" s="12" t="s">
        <v>45</v>
      </c>
      <c r="D232" s="198" t="s">
        <v>515</v>
      </c>
      <c r="E232" s="154" t="s">
        <v>273</v>
      </c>
      <c r="F232" s="40">
        <v>24</v>
      </c>
      <c r="G232" s="38">
        <v>4</v>
      </c>
      <c r="H232" s="26" t="s">
        <v>70</v>
      </c>
      <c r="I232" s="12"/>
      <c r="J232" s="12"/>
      <c r="K232" s="242"/>
      <c r="L232" s="245" t="s">
        <v>619</v>
      </c>
      <c r="M232" s="179">
        <v>12</v>
      </c>
      <c r="N232" s="31" t="s">
        <v>620</v>
      </c>
      <c r="O232" s="29"/>
      <c r="P232" s="29"/>
      <c r="Q232" s="30" t="e" vm="1">
        <v>#VALUE!</v>
      </c>
    </row>
    <row r="233" spans="1:17" ht="33.75" customHeight="1">
      <c r="A233" s="16">
        <v>167</v>
      </c>
      <c r="B233" s="310" t="b">
        <v>0</v>
      </c>
      <c r="C233" s="12"/>
      <c r="D233" s="18"/>
      <c r="E233" s="154" t="s">
        <v>276</v>
      </c>
      <c r="F233" s="40"/>
      <c r="G233" s="38"/>
      <c r="H233" s="26" t="s">
        <v>72</v>
      </c>
      <c r="I233" s="12"/>
      <c r="J233" s="12"/>
      <c r="K233" s="242"/>
      <c r="L233" s="245"/>
      <c r="M233" s="25"/>
      <c r="N233" s="28" t="s">
        <v>62</v>
      </c>
      <c r="O233" s="29"/>
      <c r="P233" s="29"/>
      <c r="Q233" s="30"/>
    </row>
    <row r="234" spans="1:17" ht="33.75" customHeight="1">
      <c r="A234" s="16">
        <v>168</v>
      </c>
      <c r="B234" s="310" t="b">
        <v>0</v>
      </c>
      <c r="C234" s="12"/>
      <c r="D234" s="18"/>
      <c r="E234" s="154" t="s">
        <v>277</v>
      </c>
      <c r="F234" s="40"/>
      <c r="G234" s="38"/>
      <c r="H234" s="26" t="s">
        <v>70</v>
      </c>
      <c r="I234" s="13"/>
      <c r="J234" s="12"/>
      <c r="K234" s="242"/>
      <c r="L234" s="245"/>
      <c r="M234" s="25"/>
      <c r="N234" s="31"/>
      <c r="O234" s="32"/>
      <c r="P234" s="32"/>
      <c r="Q234" s="33"/>
    </row>
    <row r="235" spans="1:17" ht="33.75" customHeight="1">
      <c r="A235" s="16">
        <v>169</v>
      </c>
      <c r="B235" s="310" t="b">
        <v>0</v>
      </c>
      <c r="C235" s="12" t="s">
        <v>46</v>
      </c>
      <c r="D235" s="18"/>
      <c r="E235" s="154" t="s">
        <v>279</v>
      </c>
      <c r="F235" s="40"/>
      <c r="G235" s="38"/>
      <c r="H235" s="26" t="s">
        <v>70</v>
      </c>
      <c r="I235" s="12"/>
      <c r="J235" s="12"/>
      <c r="K235" s="242"/>
      <c r="L235" s="245"/>
      <c r="M235" s="25"/>
      <c r="N235" s="31"/>
      <c r="O235" s="32"/>
      <c r="P235" s="32"/>
      <c r="Q235" s="33"/>
    </row>
    <row r="236" spans="1:17" ht="33.75" customHeight="1">
      <c r="A236" s="16">
        <v>170</v>
      </c>
      <c r="B236" s="310" t="b">
        <v>0</v>
      </c>
      <c r="C236" s="12" t="s">
        <v>47</v>
      </c>
      <c r="D236" s="18"/>
      <c r="E236" s="154" t="s">
        <v>280</v>
      </c>
      <c r="F236" s="40"/>
      <c r="G236" s="38"/>
      <c r="H236" s="26" t="s">
        <v>70</v>
      </c>
      <c r="I236" s="12"/>
      <c r="J236" s="12"/>
      <c r="K236" s="242"/>
      <c r="L236" s="245"/>
      <c r="M236" s="25"/>
      <c r="N236" s="31"/>
      <c r="O236" s="32"/>
      <c r="P236" s="32"/>
      <c r="Q236" s="33"/>
    </row>
    <row r="237" spans="1:17" ht="33.75" customHeight="1">
      <c r="A237" s="16">
        <v>171</v>
      </c>
      <c r="B237" s="310" t="b">
        <v>0</v>
      </c>
      <c r="C237" s="12" t="s">
        <v>31</v>
      </c>
      <c r="D237" s="18"/>
      <c r="E237" s="154" t="s">
        <v>285</v>
      </c>
      <c r="F237" s="40"/>
      <c r="G237" s="38"/>
      <c r="H237" s="26" t="s">
        <v>70</v>
      </c>
      <c r="I237" s="12"/>
      <c r="J237" s="12"/>
      <c r="K237" s="242"/>
      <c r="L237" s="245"/>
      <c r="M237" s="25"/>
      <c r="N237" s="31"/>
      <c r="O237" s="32"/>
      <c r="P237" s="32"/>
      <c r="Q237" s="33"/>
    </row>
    <row r="238" spans="1:17" ht="33.75" customHeight="1">
      <c r="A238" s="16">
        <v>172</v>
      </c>
      <c r="B238" s="310" t="b">
        <v>0</v>
      </c>
      <c r="C238" s="12" t="s">
        <v>54</v>
      </c>
      <c r="D238" s="18"/>
      <c r="E238" s="154" t="s">
        <v>286</v>
      </c>
      <c r="F238" s="40"/>
      <c r="G238" s="38"/>
      <c r="H238" s="26" t="s">
        <v>70</v>
      </c>
      <c r="I238" s="12"/>
      <c r="J238" s="12"/>
      <c r="K238" s="242"/>
      <c r="L238" s="245"/>
      <c r="M238" s="25"/>
      <c r="N238" s="31"/>
      <c r="O238" s="32"/>
      <c r="P238" s="32"/>
      <c r="Q238" s="33"/>
    </row>
    <row r="239" spans="1:17" ht="33.75" customHeight="1">
      <c r="A239" s="16">
        <v>173</v>
      </c>
      <c r="B239" s="310" t="b">
        <v>0</v>
      </c>
      <c r="C239" s="12"/>
      <c r="D239" s="18"/>
      <c r="E239" s="154" t="s">
        <v>290</v>
      </c>
      <c r="F239" s="40"/>
      <c r="G239" s="38"/>
      <c r="H239" s="26" t="s">
        <v>70</v>
      </c>
      <c r="I239" s="12"/>
      <c r="J239" s="12"/>
      <c r="K239" s="242"/>
      <c r="L239" s="245"/>
      <c r="M239" s="25"/>
      <c r="N239" s="28" t="s">
        <v>62</v>
      </c>
      <c r="O239" s="32" t="s">
        <v>62</v>
      </c>
      <c r="P239" s="32" t="s">
        <v>62</v>
      </c>
      <c r="Q239" s="33" t="s">
        <v>62</v>
      </c>
    </row>
    <row r="240" spans="1:17" ht="33.75" customHeight="1">
      <c r="A240" s="16">
        <v>174</v>
      </c>
      <c r="B240" s="310" t="b">
        <v>0</v>
      </c>
      <c r="C240" s="12"/>
      <c r="D240" s="18"/>
      <c r="E240" s="154" t="s">
        <v>207</v>
      </c>
      <c r="F240" s="40"/>
      <c r="G240" s="38"/>
      <c r="H240" s="40" t="s">
        <v>70</v>
      </c>
      <c r="I240" s="12"/>
      <c r="J240" s="12"/>
      <c r="K240" s="242"/>
      <c r="L240" s="245"/>
      <c r="M240" s="25"/>
      <c r="N240" s="31"/>
      <c r="O240" s="32"/>
      <c r="P240" s="32"/>
      <c r="Q240" s="33"/>
    </row>
    <row r="241" spans="1:17" ht="33.75" customHeight="1">
      <c r="A241" s="16">
        <v>175</v>
      </c>
      <c r="B241" s="310" t="b">
        <v>0</v>
      </c>
      <c r="C241" s="12"/>
      <c r="D241" s="18"/>
      <c r="E241" s="154" t="s">
        <v>207</v>
      </c>
      <c r="F241" s="40"/>
      <c r="G241" s="38"/>
      <c r="H241" s="40" t="s">
        <v>70</v>
      </c>
      <c r="I241" s="12"/>
      <c r="J241" s="12"/>
      <c r="K241" s="242"/>
      <c r="L241" s="245"/>
      <c r="M241" s="25"/>
      <c r="N241" s="31"/>
      <c r="O241" s="32"/>
      <c r="P241" s="32"/>
      <c r="Q241" s="33"/>
    </row>
    <row r="242" spans="1:17" ht="33.75" customHeight="1">
      <c r="A242" s="16">
        <v>176</v>
      </c>
      <c r="B242" s="310" t="b">
        <v>0</v>
      </c>
      <c r="C242" s="12"/>
      <c r="D242" s="18"/>
      <c r="E242" s="154" t="s">
        <v>292</v>
      </c>
      <c r="F242" s="40"/>
      <c r="G242" s="38"/>
      <c r="H242" s="40" t="s">
        <v>70</v>
      </c>
      <c r="I242" s="12"/>
      <c r="J242" s="12"/>
      <c r="K242" s="242"/>
      <c r="L242" s="245"/>
      <c r="M242" s="25"/>
      <c r="N242" s="31"/>
      <c r="O242" s="32"/>
      <c r="P242" s="32"/>
      <c r="Q242" s="33"/>
    </row>
    <row r="243" spans="1:17" ht="33.75" customHeight="1">
      <c r="A243" s="16">
        <v>177</v>
      </c>
      <c r="B243" s="310" t="b">
        <v>0</v>
      </c>
      <c r="C243" s="12"/>
      <c r="D243" s="18"/>
      <c r="E243" s="214" t="s">
        <v>294</v>
      </c>
      <c r="F243" s="40"/>
      <c r="G243" s="38"/>
      <c r="H243" s="40" t="s">
        <v>70</v>
      </c>
      <c r="I243" s="12"/>
      <c r="J243" s="12"/>
      <c r="K243" s="242"/>
      <c r="L243" s="245"/>
      <c r="M243" s="25"/>
      <c r="N243" s="28" t="s">
        <v>62</v>
      </c>
      <c r="O243" s="29"/>
      <c r="P243" s="29"/>
      <c r="Q243" s="30"/>
    </row>
    <row r="244" spans="1:17" ht="33.75" customHeight="1">
      <c r="A244" s="16">
        <v>178</v>
      </c>
      <c r="B244" s="310" t="b">
        <v>0</v>
      </c>
      <c r="C244" s="12"/>
      <c r="D244" s="18"/>
      <c r="E244" s="154" t="s">
        <v>295</v>
      </c>
      <c r="F244" s="40"/>
      <c r="G244" s="38"/>
      <c r="H244" s="40" t="s">
        <v>70</v>
      </c>
      <c r="I244" s="12"/>
      <c r="J244" s="12"/>
      <c r="K244" s="242"/>
      <c r="L244" s="245"/>
      <c r="M244" s="25"/>
      <c r="N244" s="31"/>
      <c r="O244" s="32"/>
      <c r="P244" s="32"/>
      <c r="Q244" s="33"/>
    </row>
    <row r="245" spans="1:17" ht="33.75" customHeight="1">
      <c r="A245" s="16">
        <v>179</v>
      </c>
      <c r="B245" s="310" t="b">
        <v>0</v>
      </c>
      <c r="C245" s="12"/>
      <c r="D245" s="18"/>
      <c r="E245" s="154" t="s">
        <v>297</v>
      </c>
      <c r="F245" s="40"/>
      <c r="G245" s="38"/>
      <c r="H245" s="26" t="s">
        <v>70</v>
      </c>
      <c r="I245" s="12"/>
      <c r="J245" s="12"/>
      <c r="K245" s="242"/>
      <c r="L245" s="245"/>
      <c r="M245" s="25"/>
      <c r="N245" s="31"/>
      <c r="O245" s="32"/>
      <c r="P245" s="32"/>
      <c r="Q245" s="33"/>
    </row>
    <row r="246" spans="1:17" ht="33.75" customHeight="1">
      <c r="A246" s="16">
        <v>180</v>
      </c>
      <c r="B246" s="310" t="b">
        <v>0</v>
      </c>
      <c r="C246" s="12"/>
      <c r="D246" s="18"/>
      <c r="E246" s="154" t="s">
        <v>298</v>
      </c>
      <c r="F246" s="40"/>
      <c r="G246" s="38"/>
      <c r="H246" s="26" t="s">
        <v>70</v>
      </c>
      <c r="I246" s="12"/>
      <c r="J246" s="12"/>
      <c r="K246" s="242"/>
      <c r="L246" s="245"/>
      <c r="M246" s="25"/>
      <c r="N246" s="31"/>
      <c r="O246" s="32"/>
      <c r="P246" s="32"/>
      <c r="Q246" s="33"/>
    </row>
    <row r="247" spans="1:17" ht="33.75" customHeight="1">
      <c r="A247" s="16">
        <v>181</v>
      </c>
      <c r="B247" s="310" t="b">
        <v>0</v>
      </c>
      <c r="C247" s="12"/>
      <c r="D247" s="18"/>
      <c r="E247" s="154" t="s">
        <v>300</v>
      </c>
      <c r="F247" s="40"/>
      <c r="G247" s="38"/>
      <c r="H247" s="26" t="s">
        <v>70</v>
      </c>
      <c r="I247" s="12"/>
      <c r="J247" s="12"/>
      <c r="K247" s="242"/>
      <c r="L247" s="245"/>
      <c r="M247" s="25"/>
      <c r="N247" s="31"/>
      <c r="O247" s="32"/>
      <c r="P247" s="32"/>
      <c r="Q247" s="33"/>
    </row>
    <row r="248" spans="1:17" ht="33.75" customHeight="1">
      <c r="A248" s="16">
        <v>182</v>
      </c>
      <c r="B248" s="310" t="b">
        <v>0</v>
      </c>
      <c r="C248" s="12"/>
      <c r="D248" s="18"/>
      <c r="E248" s="154" t="s">
        <v>301</v>
      </c>
      <c r="F248" s="40"/>
      <c r="G248" s="38"/>
      <c r="H248" s="26" t="s">
        <v>70</v>
      </c>
      <c r="I248" s="12"/>
      <c r="J248" s="12"/>
      <c r="K248" s="242"/>
      <c r="L248" s="245"/>
      <c r="M248" s="25"/>
      <c r="N248" s="31"/>
      <c r="O248" s="32"/>
      <c r="P248" s="32"/>
      <c r="Q248" s="33"/>
    </row>
    <row r="249" spans="1:17" ht="33.75" customHeight="1">
      <c r="A249" s="16">
        <v>183</v>
      </c>
      <c r="B249" s="310" t="b">
        <v>0</v>
      </c>
      <c r="C249" s="12"/>
      <c r="D249" s="18"/>
      <c r="E249" s="154" t="s">
        <v>303</v>
      </c>
      <c r="F249" s="12"/>
      <c r="G249" s="38"/>
      <c r="H249" s="26" t="s">
        <v>70</v>
      </c>
      <c r="I249" s="12"/>
      <c r="J249" s="12"/>
      <c r="K249" s="242"/>
      <c r="L249" s="245"/>
      <c r="M249" s="25"/>
      <c r="N249" s="31"/>
      <c r="O249" s="32"/>
      <c r="P249" s="32"/>
      <c r="Q249" s="33"/>
    </row>
    <row r="250" spans="1:17" ht="33.75" customHeight="1">
      <c r="A250" s="16">
        <v>184</v>
      </c>
      <c r="B250" s="310" t="b">
        <v>0</v>
      </c>
      <c r="C250" s="12"/>
      <c r="D250" s="18"/>
      <c r="E250" s="154" t="s">
        <v>311</v>
      </c>
      <c r="F250" s="12"/>
      <c r="G250" s="38"/>
      <c r="H250" s="26" t="s">
        <v>70</v>
      </c>
      <c r="I250" s="12"/>
      <c r="J250" s="12"/>
      <c r="K250" s="242"/>
      <c r="L250" s="245"/>
      <c r="M250" s="25"/>
      <c r="N250" s="31"/>
      <c r="O250" s="32"/>
      <c r="P250" s="32"/>
      <c r="Q250" s="33"/>
    </row>
    <row r="251" spans="1:17" ht="33.75" customHeight="1">
      <c r="A251" s="16">
        <v>185</v>
      </c>
      <c r="B251" s="310" t="b">
        <v>0</v>
      </c>
      <c r="C251" s="12"/>
      <c r="D251" s="18"/>
      <c r="E251" s="154" t="s">
        <v>312</v>
      </c>
      <c r="F251" s="12"/>
      <c r="G251" s="38"/>
      <c r="H251" s="26" t="s">
        <v>70</v>
      </c>
      <c r="I251" s="12"/>
      <c r="J251" s="12"/>
      <c r="K251" s="242"/>
      <c r="L251" s="245"/>
      <c r="M251" s="25"/>
      <c r="N251" s="31"/>
      <c r="O251" s="32"/>
      <c r="P251" s="32"/>
      <c r="Q251" s="33"/>
    </row>
    <row r="252" spans="1:17" ht="33.75" customHeight="1">
      <c r="A252" s="16">
        <v>186</v>
      </c>
      <c r="B252" s="310" t="b">
        <v>0</v>
      </c>
      <c r="C252" s="12"/>
      <c r="D252" s="18"/>
      <c r="E252" s="154" t="s">
        <v>313</v>
      </c>
      <c r="F252" s="40">
        <v>26</v>
      </c>
      <c r="G252" s="38">
        <v>2</v>
      </c>
      <c r="H252" s="26" t="s">
        <v>70</v>
      </c>
      <c r="I252" s="12"/>
      <c r="J252" s="12"/>
      <c r="K252" s="242"/>
      <c r="L252" s="245"/>
      <c r="M252" s="25"/>
      <c r="N252" s="31" t="s">
        <v>749</v>
      </c>
      <c r="O252" s="32"/>
      <c r="P252" s="32"/>
      <c r="Q252" s="33"/>
    </row>
    <row r="253" spans="1:17" ht="33.75" customHeight="1">
      <c r="A253" s="16">
        <v>187</v>
      </c>
      <c r="B253" s="310" t="b">
        <v>0</v>
      </c>
      <c r="C253" s="12"/>
      <c r="D253" s="18"/>
      <c r="E253" s="154" t="s">
        <v>316</v>
      </c>
      <c r="F253" s="12"/>
      <c r="G253" s="38"/>
      <c r="H253" s="26" t="s">
        <v>70</v>
      </c>
      <c r="I253" s="12"/>
      <c r="J253" s="12"/>
      <c r="K253" s="242"/>
      <c r="L253" s="245"/>
      <c r="M253" s="25"/>
      <c r="N253" s="31"/>
      <c r="O253" s="32"/>
      <c r="P253" s="32"/>
      <c r="Q253" s="33"/>
    </row>
    <row r="254" spans="1:17" ht="33.75" customHeight="1">
      <c r="A254" s="16">
        <v>188</v>
      </c>
      <c r="B254" s="310" t="b">
        <v>0</v>
      </c>
      <c r="C254" s="12" t="s">
        <v>61</v>
      </c>
      <c r="D254" s="18"/>
      <c r="E254" s="154" t="s">
        <v>317</v>
      </c>
      <c r="F254" s="12"/>
      <c r="G254" s="38"/>
      <c r="H254" s="26" t="s">
        <v>70</v>
      </c>
      <c r="I254" s="12"/>
      <c r="J254" s="12"/>
      <c r="K254" s="242"/>
      <c r="L254" s="245"/>
      <c r="M254" s="25"/>
      <c r="N254" s="31"/>
      <c r="O254" s="32"/>
      <c r="P254" s="32"/>
      <c r="Q254" s="33"/>
    </row>
    <row r="255" spans="1:17" ht="33.75" customHeight="1">
      <c r="A255" s="16">
        <v>189</v>
      </c>
      <c r="B255" s="310" t="b">
        <v>0</v>
      </c>
      <c r="C255" s="12"/>
      <c r="D255" s="18"/>
      <c r="E255" s="154" t="s">
        <v>318</v>
      </c>
      <c r="F255" s="12"/>
      <c r="G255" s="38"/>
      <c r="H255" s="26" t="s">
        <v>70</v>
      </c>
      <c r="I255" s="12"/>
      <c r="J255" s="12"/>
      <c r="K255" s="242"/>
      <c r="L255" s="245"/>
      <c r="M255" s="25"/>
      <c r="N255" s="31"/>
      <c r="O255" s="32"/>
      <c r="P255" s="32"/>
      <c r="Q255" s="33"/>
    </row>
    <row r="256" spans="1:17" ht="33.75" customHeight="1">
      <c r="A256" s="16">
        <v>190</v>
      </c>
      <c r="B256" s="310" t="b">
        <v>0</v>
      </c>
      <c r="C256" s="12"/>
      <c r="D256" s="18"/>
      <c r="E256" s="169" t="s">
        <v>319</v>
      </c>
      <c r="F256" s="12"/>
      <c r="G256" s="38"/>
      <c r="H256" s="26" t="s">
        <v>70</v>
      </c>
      <c r="I256" s="12"/>
      <c r="J256" s="12"/>
      <c r="K256" s="242"/>
      <c r="L256" s="245"/>
      <c r="M256" s="25"/>
      <c r="N256" s="31"/>
      <c r="O256" s="32"/>
      <c r="P256" s="32"/>
      <c r="Q256" s="33"/>
    </row>
    <row r="257" spans="1:17" ht="33.75" customHeight="1">
      <c r="A257" s="16">
        <v>191</v>
      </c>
      <c r="B257" s="310" t="b">
        <v>0</v>
      </c>
      <c r="C257" s="12"/>
      <c r="D257" s="18"/>
      <c r="E257" s="154" t="s">
        <v>322</v>
      </c>
      <c r="F257" s="12"/>
      <c r="G257" s="38"/>
      <c r="H257" s="26" t="s">
        <v>70</v>
      </c>
      <c r="I257" s="12"/>
      <c r="J257" s="12"/>
      <c r="K257" s="242"/>
      <c r="L257" s="245"/>
      <c r="M257" s="25"/>
      <c r="N257" s="31"/>
      <c r="O257" s="32"/>
      <c r="P257" s="32"/>
      <c r="Q257" s="33"/>
    </row>
    <row r="258" spans="1:17" s="241" customFormat="1" ht="33.75" customHeight="1">
      <c r="A258" s="16">
        <v>192</v>
      </c>
      <c r="B258" s="310" t="b">
        <v>0</v>
      </c>
      <c r="C258" s="232" t="s">
        <v>53</v>
      </c>
      <c r="D258" s="233" t="s">
        <v>522</v>
      </c>
      <c r="E258" s="234" t="s">
        <v>284</v>
      </c>
      <c r="F258" s="235"/>
      <c r="G258" s="235">
        <v>3</v>
      </c>
      <c r="H258" s="235" t="s">
        <v>70</v>
      </c>
      <c r="I258" s="232"/>
      <c r="J258" s="232"/>
      <c r="K258" s="242"/>
      <c r="L258" s="245"/>
      <c r="M258" s="236"/>
      <c r="N258" s="240" t="s">
        <v>490</v>
      </c>
      <c r="O258" s="238"/>
      <c r="P258" s="238"/>
      <c r="Q258" s="239"/>
    </row>
    <row r="259" spans="1:17" s="241" customFormat="1" ht="33.75" customHeight="1">
      <c r="A259" s="16">
        <v>193</v>
      </c>
      <c r="B259" s="310" t="b">
        <v>0</v>
      </c>
      <c r="C259" s="232"/>
      <c r="D259" s="233"/>
      <c r="E259" s="234" t="s">
        <v>178</v>
      </c>
      <c r="F259" s="232"/>
      <c r="G259" s="235"/>
      <c r="H259" s="235" t="s">
        <v>70</v>
      </c>
      <c r="I259" s="232"/>
      <c r="J259" s="232"/>
      <c r="K259" s="242"/>
      <c r="L259" s="245"/>
      <c r="M259" s="236"/>
      <c r="N259" s="237"/>
      <c r="O259" s="238"/>
      <c r="P259" s="238"/>
      <c r="Q259" s="239"/>
    </row>
    <row r="260" spans="1:17" s="241" customFormat="1" ht="33.75" customHeight="1">
      <c r="A260" s="16">
        <v>194</v>
      </c>
      <c r="B260" s="310" t="b">
        <v>0</v>
      </c>
      <c r="C260" s="232"/>
      <c r="D260" s="233"/>
      <c r="E260" s="234" t="s">
        <v>179</v>
      </c>
      <c r="F260" s="232"/>
      <c r="G260" s="235"/>
      <c r="H260" s="235" t="s">
        <v>70</v>
      </c>
      <c r="I260" s="232"/>
      <c r="J260" s="232"/>
      <c r="K260" s="242"/>
      <c r="L260" s="245"/>
      <c r="M260" s="236"/>
      <c r="N260" s="237"/>
      <c r="O260" s="238"/>
      <c r="P260" s="238"/>
      <c r="Q260" s="239"/>
    </row>
    <row r="261" spans="1:17" s="241" customFormat="1" ht="33.75" customHeight="1">
      <c r="A261" s="16">
        <v>195</v>
      </c>
      <c r="B261" s="310" t="b">
        <v>0</v>
      </c>
      <c r="C261" s="232"/>
      <c r="D261" s="233"/>
      <c r="E261" s="234" t="s">
        <v>281</v>
      </c>
      <c r="F261" s="232"/>
      <c r="G261" s="235"/>
      <c r="H261" s="235" t="s">
        <v>70</v>
      </c>
      <c r="I261" s="232"/>
      <c r="J261" s="232"/>
      <c r="K261" s="242"/>
      <c r="L261" s="245"/>
      <c r="M261" s="236"/>
      <c r="N261" s="237"/>
      <c r="O261" s="238"/>
      <c r="P261" s="238"/>
      <c r="Q261" s="239"/>
    </row>
    <row r="262" spans="1:17" s="241" customFormat="1" ht="33.75" customHeight="1">
      <c r="A262" s="16">
        <v>196</v>
      </c>
      <c r="B262" s="310" t="b">
        <v>0</v>
      </c>
      <c r="C262" s="232"/>
      <c r="D262" s="233"/>
      <c r="E262" s="234" t="s">
        <v>282</v>
      </c>
      <c r="F262" s="232"/>
      <c r="G262" s="235"/>
      <c r="H262" s="235" t="s">
        <v>70</v>
      </c>
      <c r="I262" s="232"/>
      <c r="J262" s="232"/>
      <c r="K262" s="242"/>
      <c r="L262" s="245"/>
      <c r="M262" s="236"/>
      <c r="N262" s="237"/>
      <c r="O262" s="238"/>
      <c r="P262" s="238"/>
      <c r="Q262" s="239"/>
    </row>
    <row r="263" spans="1:17" s="241" customFormat="1" ht="33.75" customHeight="1">
      <c r="A263" s="16">
        <v>197</v>
      </c>
      <c r="B263" s="310" t="b">
        <v>0</v>
      </c>
      <c r="C263" s="232"/>
      <c r="D263" s="233"/>
      <c r="E263" s="234" t="s">
        <v>180</v>
      </c>
      <c r="F263" s="232"/>
      <c r="G263" s="235"/>
      <c r="H263" s="235" t="s">
        <v>70</v>
      </c>
      <c r="I263" s="232"/>
      <c r="J263" s="232"/>
      <c r="K263" s="242"/>
      <c r="L263" s="245"/>
      <c r="M263" s="236"/>
      <c r="N263" s="237"/>
      <c r="O263" s="238"/>
      <c r="P263" s="238"/>
      <c r="Q263" s="239"/>
    </row>
    <row r="264" spans="1:17" s="241" customFormat="1" ht="33.75" customHeight="1">
      <c r="A264" s="16">
        <v>198</v>
      </c>
      <c r="B264" s="310" t="b">
        <v>0</v>
      </c>
      <c r="C264" s="232"/>
      <c r="D264" s="233"/>
      <c r="E264" s="234" t="s">
        <v>198</v>
      </c>
      <c r="F264" s="232"/>
      <c r="G264" s="235"/>
      <c r="H264" s="235" t="s">
        <v>70</v>
      </c>
      <c r="I264" s="232"/>
      <c r="J264" s="232"/>
      <c r="K264" s="242"/>
      <c r="L264" s="245"/>
      <c r="M264" s="236"/>
      <c r="N264" s="237"/>
      <c r="O264" s="238"/>
      <c r="P264" s="238"/>
      <c r="Q264" s="239"/>
    </row>
    <row r="265" spans="1:17" s="241" customFormat="1" ht="33.75" customHeight="1">
      <c r="A265" s="16">
        <v>199</v>
      </c>
      <c r="B265" s="310" t="b">
        <v>0</v>
      </c>
      <c r="C265" s="232"/>
      <c r="D265" s="233"/>
      <c r="E265" s="234" t="s">
        <v>181</v>
      </c>
      <c r="F265" s="232"/>
      <c r="G265" s="235"/>
      <c r="H265" s="235" t="s">
        <v>70</v>
      </c>
      <c r="I265" s="232"/>
      <c r="J265" s="232"/>
      <c r="K265" s="242"/>
      <c r="L265" s="245"/>
      <c r="M265" s="236"/>
      <c r="N265" s="237"/>
      <c r="O265" s="238"/>
      <c r="P265" s="238"/>
      <c r="Q265" s="239"/>
    </row>
    <row r="266" spans="1:17" s="241" customFormat="1" ht="33.75" customHeight="1">
      <c r="A266" s="16">
        <v>200</v>
      </c>
      <c r="B266" s="310" t="b">
        <v>0</v>
      </c>
      <c r="C266" s="232"/>
      <c r="D266" s="233"/>
      <c r="E266" s="234" t="s">
        <v>182</v>
      </c>
      <c r="F266" s="232"/>
      <c r="G266" s="235"/>
      <c r="H266" s="235" t="s">
        <v>70</v>
      </c>
      <c r="I266" s="232"/>
      <c r="J266" s="232"/>
      <c r="K266" s="242"/>
      <c r="L266" s="245"/>
      <c r="M266" s="236"/>
      <c r="N266" s="237"/>
      <c r="O266" s="238"/>
      <c r="P266" s="238"/>
      <c r="Q266" s="239"/>
    </row>
    <row r="267" spans="1:17" s="241" customFormat="1" ht="33.75" customHeight="1">
      <c r="A267" s="16">
        <v>201</v>
      </c>
      <c r="B267" s="310" t="b">
        <v>0</v>
      </c>
      <c r="C267" s="232"/>
      <c r="D267" s="233"/>
      <c r="E267" s="234" t="s">
        <v>183</v>
      </c>
      <c r="F267" s="232"/>
      <c r="G267" s="235"/>
      <c r="H267" s="235" t="s">
        <v>70</v>
      </c>
      <c r="I267" s="232"/>
      <c r="J267" s="232"/>
      <c r="K267" s="242"/>
      <c r="L267" s="245"/>
      <c r="M267" s="236"/>
      <c r="N267" s="237"/>
      <c r="O267" s="238"/>
      <c r="P267" s="238"/>
      <c r="Q267" s="239"/>
    </row>
    <row r="268" spans="1:17" s="241" customFormat="1" ht="33.75" customHeight="1">
      <c r="A268" s="16">
        <v>202</v>
      </c>
      <c r="B268" s="310" t="b">
        <v>0</v>
      </c>
      <c r="C268" s="232"/>
      <c r="D268" s="233"/>
      <c r="E268" s="234" t="s">
        <v>184</v>
      </c>
      <c r="F268" s="232"/>
      <c r="G268" s="235"/>
      <c r="H268" s="235" t="s">
        <v>70</v>
      </c>
      <c r="I268" s="232"/>
      <c r="J268" s="232"/>
      <c r="K268" s="242"/>
      <c r="L268" s="245"/>
      <c r="M268" s="236"/>
      <c r="N268" s="237"/>
      <c r="O268" s="238"/>
      <c r="P268" s="238"/>
      <c r="Q268" s="239"/>
    </row>
    <row r="269" spans="1:17" ht="33.75" customHeight="1">
      <c r="A269" s="16">
        <v>203</v>
      </c>
      <c r="B269" s="310" t="b">
        <v>0</v>
      </c>
      <c r="C269" s="12" t="s">
        <v>40</v>
      </c>
      <c r="D269" s="18"/>
      <c r="E269" s="56" t="s">
        <v>177</v>
      </c>
      <c r="F269" s="12"/>
      <c r="G269" s="38"/>
      <c r="H269" s="26" t="s">
        <v>70</v>
      </c>
      <c r="I269" s="12"/>
      <c r="J269" s="12"/>
      <c r="K269" s="242"/>
      <c r="L269" s="245"/>
      <c r="M269" s="25"/>
      <c r="N269" s="31"/>
      <c r="O269" s="32"/>
      <c r="P269" s="32"/>
      <c r="Q269" s="33"/>
    </row>
    <row r="270" spans="1:17" ht="33.75" customHeight="1">
      <c r="A270" s="16">
        <v>204</v>
      </c>
      <c r="B270" s="310" t="b">
        <v>0</v>
      </c>
      <c r="C270" s="12"/>
      <c r="D270" s="18"/>
      <c r="E270" s="14" t="s">
        <v>195</v>
      </c>
      <c r="F270" s="12"/>
      <c r="G270" s="38"/>
      <c r="H270" s="26" t="s">
        <v>70</v>
      </c>
      <c r="I270" s="12"/>
      <c r="J270" s="12"/>
      <c r="K270" s="242"/>
      <c r="L270" s="245"/>
      <c r="M270" s="25"/>
      <c r="N270" s="31"/>
      <c r="O270" s="32"/>
      <c r="P270" s="32"/>
      <c r="Q270" s="33"/>
    </row>
    <row r="271" spans="1:17" ht="33.75" customHeight="1">
      <c r="A271" s="16">
        <v>205</v>
      </c>
      <c r="B271" s="310" t="b">
        <v>0</v>
      </c>
      <c r="C271" s="12"/>
      <c r="D271" s="18"/>
      <c r="E271" s="14" t="s">
        <v>178</v>
      </c>
      <c r="F271" s="12"/>
      <c r="G271" s="38"/>
      <c r="H271" s="26" t="s">
        <v>70</v>
      </c>
      <c r="I271" s="12"/>
      <c r="J271" s="12"/>
      <c r="K271" s="242"/>
      <c r="L271" s="245"/>
      <c r="M271" s="25"/>
      <c r="N271" s="31"/>
      <c r="O271" s="32"/>
      <c r="P271" s="32"/>
      <c r="Q271" s="33"/>
    </row>
    <row r="272" spans="1:17" ht="33.75" customHeight="1">
      <c r="A272" s="16">
        <v>206</v>
      </c>
      <c r="B272" s="310" t="b">
        <v>0</v>
      </c>
      <c r="C272" s="12"/>
      <c r="D272" s="18"/>
      <c r="E272" s="14" t="s">
        <v>179</v>
      </c>
      <c r="F272" s="12"/>
      <c r="G272" s="38"/>
      <c r="H272" s="26" t="s">
        <v>70</v>
      </c>
      <c r="I272" s="12"/>
      <c r="J272" s="12"/>
      <c r="K272" s="242"/>
      <c r="L272" s="245"/>
      <c r="M272" s="25"/>
      <c r="N272" s="31"/>
      <c r="O272" s="32"/>
      <c r="P272" s="32"/>
      <c r="Q272" s="33"/>
    </row>
    <row r="273" spans="1:17" ht="33.75" customHeight="1">
      <c r="A273" s="16">
        <v>207</v>
      </c>
      <c r="B273" s="310" t="b">
        <v>0</v>
      </c>
      <c r="C273" s="12"/>
      <c r="D273" s="18"/>
      <c r="E273" s="14" t="s">
        <v>180</v>
      </c>
      <c r="F273" s="12"/>
      <c r="G273" s="38"/>
      <c r="H273" s="26" t="s">
        <v>70</v>
      </c>
      <c r="I273" s="12"/>
      <c r="J273" s="12"/>
      <c r="K273" s="242"/>
      <c r="L273" s="245"/>
      <c r="M273" s="25"/>
      <c r="N273" s="31"/>
      <c r="O273" s="32"/>
      <c r="P273" s="32"/>
      <c r="Q273" s="33"/>
    </row>
    <row r="274" spans="1:17" ht="33.75" customHeight="1">
      <c r="A274" s="16">
        <v>208</v>
      </c>
      <c r="B274" s="310" t="b">
        <v>0</v>
      </c>
      <c r="C274" s="12"/>
      <c r="D274" s="18"/>
      <c r="E274" s="14" t="s">
        <v>181</v>
      </c>
      <c r="F274" s="12"/>
      <c r="G274" s="38"/>
      <c r="H274" s="26" t="s">
        <v>70</v>
      </c>
      <c r="I274" s="12"/>
      <c r="J274" s="12"/>
      <c r="K274" s="242"/>
      <c r="L274" s="245"/>
      <c r="M274" s="25"/>
      <c r="N274" s="31"/>
      <c r="O274" s="32"/>
      <c r="P274" s="32"/>
      <c r="Q274" s="33"/>
    </row>
    <row r="275" spans="1:17" ht="33.75" customHeight="1">
      <c r="A275" s="16">
        <v>209</v>
      </c>
      <c r="B275" s="310" t="b">
        <v>0</v>
      </c>
      <c r="C275" s="12"/>
      <c r="D275" s="18"/>
      <c r="E275" s="14" t="s">
        <v>182</v>
      </c>
      <c r="F275" s="12"/>
      <c r="G275" s="38"/>
      <c r="H275" s="26" t="s">
        <v>70</v>
      </c>
      <c r="I275" s="12"/>
      <c r="J275" s="12"/>
      <c r="K275" s="242"/>
      <c r="L275" s="245"/>
      <c r="M275" s="25"/>
      <c r="N275" s="31"/>
      <c r="O275" s="32"/>
      <c r="P275" s="32"/>
      <c r="Q275" s="33"/>
    </row>
    <row r="276" spans="1:17" ht="33.75" customHeight="1">
      <c r="A276" s="16">
        <v>210</v>
      </c>
      <c r="B276" s="310" t="b">
        <v>0</v>
      </c>
      <c r="C276" s="12"/>
      <c r="D276" s="18"/>
      <c r="E276" s="14" t="s">
        <v>183</v>
      </c>
      <c r="F276" s="12"/>
      <c r="G276" s="38"/>
      <c r="H276" s="26" t="s">
        <v>70</v>
      </c>
      <c r="I276" s="12"/>
      <c r="J276" s="12"/>
      <c r="K276" s="242"/>
      <c r="L276" s="245"/>
      <c r="M276" s="25"/>
      <c r="N276" s="31"/>
      <c r="O276" s="32"/>
      <c r="P276" s="32"/>
      <c r="Q276" s="33"/>
    </row>
    <row r="277" spans="1:17" ht="33.75" customHeight="1">
      <c r="A277" s="16">
        <v>211</v>
      </c>
      <c r="B277" s="310" t="b">
        <v>0</v>
      </c>
      <c r="C277" s="12"/>
      <c r="D277" s="18"/>
      <c r="E277" s="14" t="s">
        <v>184</v>
      </c>
      <c r="F277" s="12"/>
      <c r="G277" s="38"/>
      <c r="H277" s="26" t="s">
        <v>70</v>
      </c>
      <c r="I277" s="12"/>
      <c r="J277" s="12"/>
      <c r="K277" s="242"/>
      <c r="L277" s="245"/>
      <c r="M277" s="25"/>
      <c r="N277" s="31"/>
      <c r="O277" s="32"/>
      <c r="P277" s="32"/>
      <c r="Q277" s="33"/>
    </row>
    <row r="278" spans="1:17" ht="33.75" customHeight="1">
      <c r="A278" s="16">
        <v>212</v>
      </c>
      <c r="B278" s="310" t="b">
        <v>0</v>
      </c>
      <c r="C278" s="12"/>
      <c r="D278" s="18"/>
      <c r="E278" s="14" t="s">
        <v>185</v>
      </c>
      <c r="F278" s="12"/>
      <c r="G278" s="38"/>
      <c r="H278" s="26" t="s">
        <v>70</v>
      </c>
      <c r="I278" s="12"/>
      <c r="J278" s="12"/>
      <c r="K278" s="242"/>
      <c r="L278" s="245"/>
      <c r="M278" s="25"/>
      <c r="N278" s="31"/>
      <c r="O278" s="32"/>
      <c r="P278" s="32"/>
      <c r="Q278" s="33"/>
    </row>
    <row r="279" spans="1:17" ht="33.75" customHeight="1">
      <c r="A279" s="16">
        <v>213</v>
      </c>
      <c r="B279" s="310" t="b">
        <v>0</v>
      </c>
      <c r="C279" s="12"/>
      <c r="D279" s="18"/>
      <c r="E279" s="14" t="s">
        <v>251</v>
      </c>
      <c r="F279" s="12"/>
      <c r="G279" s="38"/>
      <c r="H279" s="26" t="s">
        <v>70</v>
      </c>
      <c r="I279" s="12"/>
      <c r="J279" s="12"/>
      <c r="K279" s="242"/>
      <c r="L279" s="245"/>
      <c r="M279" s="25"/>
      <c r="N279" s="31"/>
      <c r="O279" s="32"/>
      <c r="P279" s="32"/>
      <c r="Q279" s="33"/>
    </row>
    <row r="280" spans="1:17" ht="33.75" customHeight="1">
      <c r="A280" s="16">
        <v>214</v>
      </c>
      <c r="B280" s="310" t="b">
        <v>0</v>
      </c>
      <c r="C280" s="12"/>
      <c r="D280" s="18"/>
      <c r="E280" s="14" t="s">
        <v>257</v>
      </c>
      <c r="F280" s="12"/>
      <c r="G280" s="38"/>
      <c r="H280" s="26" t="s">
        <v>70</v>
      </c>
      <c r="I280" s="12"/>
      <c r="J280" s="12"/>
      <c r="K280" s="242"/>
      <c r="L280" s="245"/>
      <c r="M280" s="25"/>
      <c r="N280" s="31"/>
      <c r="O280" s="32"/>
      <c r="P280" s="32"/>
      <c r="Q280" s="33"/>
    </row>
    <row r="281" spans="1:17" ht="33.75" customHeight="1">
      <c r="A281" s="16">
        <v>215</v>
      </c>
      <c r="B281" s="310" t="b">
        <v>0</v>
      </c>
      <c r="C281" s="12" t="s">
        <v>40</v>
      </c>
      <c r="D281" s="18"/>
      <c r="E281" s="56" t="s">
        <v>256</v>
      </c>
      <c r="F281" s="12"/>
      <c r="G281" s="38"/>
      <c r="H281" s="26" t="s">
        <v>70</v>
      </c>
      <c r="I281" s="12"/>
      <c r="J281" s="12"/>
      <c r="K281" s="242"/>
      <c r="L281" s="245"/>
      <c r="M281" s="25"/>
      <c r="N281" s="31"/>
      <c r="O281" s="32"/>
      <c r="P281" s="32"/>
      <c r="Q281" s="33"/>
    </row>
    <row r="282" spans="1:17" ht="33.75" customHeight="1">
      <c r="A282" s="16">
        <v>216</v>
      </c>
      <c r="B282" s="310" t="b">
        <v>0</v>
      </c>
      <c r="C282" s="12"/>
      <c r="D282" s="18"/>
      <c r="E282" s="14" t="s">
        <v>195</v>
      </c>
      <c r="F282" s="12"/>
      <c r="G282" s="38"/>
      <c r="H282" s="26" t="s">
        <v>70</v>
      </c>
      <c r="I282" s="12"/>
      <c r="J282" s="12"/>
      <c r="K282" s="242"/>
      <c r="L282" s="245"/>
      <c r="M282" s="25"/>
      <c r="N282" s="31"/>
      <c r="O282" s="32"/>
      <c r="P282" s="32"/>
      <c r="Q282" s="33"/>
    </row>
    <row r="283" spans="1:17" ht="33.75" customHeight="1">
      <c r="A283" s="16">
        <v>217</v>
      </c>
      <c r="B283" s="310" t="b">
        <v>0</v>
      </c>
      <c r="C283" s="12"/>
      <c r="D283" s="18"/>
      <c r="E283" s="14" t="s">
        <v>178</v>
      </c>
      <c r="F283" s="12"/>
      <c r="G283" s="38"/>
      <c r="H283" s="26" t="s">
        <v>70</v>
      </c>
      <c r="I283" s="12"/>
      <c r="J283" s="12"/>
      <c r="K283" s="242"/>
      <c r="L283" s="245"/>
      <c r="M283" s="25"/>
      <c r="N283" s="31"/>
      <c r="O283" s="32"/>
      <c r="P283" s="32"/>
      <c r="Q283" s="33"/>
    </row>
    <row r="284" spans="1:17" ht="33.75" customHeight="1">
      <c r="A284" s="16">
        <v>218</v>
      </c>
      <c r="B284" s="310" t="b">
        <v>0</v>
      </c>
      <c r="C284" s="12"/>
      <c r="D284" s="18"/>
      <c r="E284" s="14" t="s">
        <v>179</v>
      </c>
      <c r="F284" s="12"/>
      <c r="G284" s="38"/>
      <c r="H284" s="26" t="s">
        <v>70</v>
      </c>
      <c r="I284" s="12"/>
      <c r="J284" s="12"/>
      <c r="K284" s="242"/>
      <c r="L284" s="245"/>
      <c r="M284" s="25"/>
      <c r="N284" s="31"/>
      <c r="O284" s="32"/>
      <c r="P284" s="32"/>
      <c r="Q284" s="33"/>
    </row>
    <row r="285" spans="1:17" ht="33.75" customHeight="1">
      <c r="A285" s="16">
        <v>219</v>
      </c>
      <c r="B285" s="310" t="b">
        <v>0</v>
      </c>
      <c r="C285" s="12"/>
      <c r="D285" s="18"/>
      <c r="E285" s="14" t="s">
        <v>180</v>
      </c>
      <c r="F285" s="12"/>
      <c r="G285" s="38"/>
      <c r="H285" s="26" t="s">
        <v>70</v>
      </c>
      <c r="I285" s="12"/>
      <c r="J285" s="12"/>
      <c r="K285" s="242"/>
      <c r="L285" s="245"/>
      <c r="M285" s="25"/>
      <c r="N285" s="31"/>
      <c r="O285" s="32"/>
      <c r="P285" s="32"/>
      <c r="Q285" s="33"/>
    </row>
    <row r="286" spans="1:17" ht="33.75" customHeight="1">
      <c r="A286" s="16">
        <v>220</v>
      </c>
      <c r="B286" s="310" t="b">
        <v>0</v>
      </c>
      <c r="C286" s="12"/>
      <c r="D286" s="18"/>
      <c r="E286" s="14" t="s">
        <v>181</v>
      </c>
      <c r="F286" s="12"/>
      <c r="G286" s="38"/>
      <c r="H286" s="26" t="s">
        <v>70</v>
      </c>
      <c r="I286" s="12"/>
      <c r="J286" s="12"/>
      <c r="K286" s="242"/>
      <c r="L286" s="245"/>
      <c r="M286" s="25"/>
      <c r="N286" s="31"/>
      <c r="O286" s="32"/>
      <c r="P286" s="32"/>
      <c r="Q286" s="33"/>
    </row>
    <row r="287" spans="1:17" ht="33.75" customHeight="1">
      <c r="A287" s="16">
        <v>221</v>
      </c>
      <c r="B287" s="310" t="b">
        <v>0</v>
      </c>
      <c r="C287" s="12"/>
      <c r="D287" s="18"/>
      <c r="E287" s="14" t="s">
        <v>182</v>
      </c>
      <c r="F287" s="12"/>
      <c r="G287" s="38"/>
      <c r="H287" s="26" t="s">
        <v>70</v>
      </c>
      <c r="I287" s="12"/>
      <c r="J287" s="12"/>
      <c r="K287" s="242"/>
      <c r="L287" s="245"/>
      <c r="M287" s="25"/>
      <c r="N287" s="31"/>
      <c r="O287" s="32"/>
      <c r="P287" s="32"/>
      <c r="Q287" s="33"/>
    </row>
    <row r="288" spans="1:17" ht="33.75" customHeight="1">
      <c r="A288" s="16">
        <v>222</v>
      </c>
      <c r="B288" s="310" t="b">
        <v>0</v>
      </c>
      <c r="C288" s="12"/>
      <c r="D288" s="18"/>
      <c r="E288" s="14" t="s">
        <v>183</v>
      </c>
      <c r="F288" s="12"/>
      <c r="G288" s="38"/>
      <c r="H288" s="26" t="s">
        <v>70</v>
      </c>
      <c r="I288" s="12"/>
      <c r="J288" s="12"/>
      <c r="K288" s="242"/>
      <c r="L288" s="245"/>
      <c r="M288" s="25"/>
      <c r="N288" s="31"/>
      <c r="O288" s="32"/>
      <c r="P288" s="32"/>
      <c r="Q288" s="33"/>
    </row>
    <row r="289" spans="1:17" ht="33.75" customHeight="1">
      <c r="A289" s="16">
        <v>223</v>
      </c>
      <c r="B289" s="310" t="b">
        <v>0</v>
      </c>
      <c r="C289" s="12"/>
      <c r="D289" s="18"/>
      <c r="E289" s="14" t="s">
        <v>184</v>
      </c>
      <c r="F289" s="12"/>
      <c r="G289" s="38"/>
      <c r="H289" s="26" t="s">
        <v>70</v>
      </c>
      <c r="I289" s="12"/>
      <c r="J289" s="12"/>
      <c r="K289" s="242"/>
      <c r="L289" s="245"/>
      <c r="M289" s="25"/>
      <c r="N289" s="31"/>
      <c r="O289" s="32"/>
      <c r="P289" s="32"/>
      <c r="Q289" s="33"/>
    </row>
    <row r="290" spans="1:17" ht="33.75" customHeight="1">
      <c r="A290" s="16">
        <v>224</v>
      </c>
      <c r="B290" s="310" t="b">
        <v>0</v>
      </c>
      <c r="C290" s="12"/>
      <c r="D290" s="18"/>
      <c r="E290" s="14" t="s">
        <v>185</v>
      </c>
      <c r="F290" s="12"/>
      <c r="G290" s="38"/>
      <c r="H290" s="26" t="s">
        <v>70</v>
      </c>
      <c r="I290" s="12"/>
      <c r="J290" s="12"/>
      <c r="K290" s="242"/>
      <c r="L290" s="245"/>
      <c r="M290" s="25"/>
      <c r="N290" s="31"/>
      <c r="O290" s="32"/>
      <c r="P290" s="32"/>
      <c r="Q290" s="33"/>
    </row>
    <row r="291" spans="1:17" ht="33.75" customHeight="1">
      <c r="A291" s="16">
        <v>225</v>
      </c>
      <c r="B291" s="310" t="b">
        <v>0</v>
      </c>
      <c r="C291" s="12"/>
      <c r="D291" s="18"/>
      <c r="E291" s="14" t="s">
        <v>251</v>
      </c>
      <c r="F291" s="12"/>
      <c r="G291" s="38"/>
      <c r="H291" s="26" t="s">
        <v>70</v>
      </c>
      <c r="I291" s="12"/>
      <c r="J291" s="12"/>
      <c r="K291" s="242"/>
      <c r="L291" s="245"/>
      <c r="M291" s="25"/>
      <c r="N291" s="31"/>
      <c r="O291" s="32"/>
      <c r="P291" s="32"/>
      <c r="Q291" s="33"/>
    </row>
    <row r="292" spans="1:17" ht="33.75" customHeight="1">
      <c r="A292" s="16">
        <v>226</v>
      </c>
      <c r="B292" s="310" t="b">
        <v>0</v>
      </c>
      <c r="C292" s="12"/>
      <c r="D292" s="18"/>
      <c r="E292" s="14" t="s">
        <v>257</v>
      </c>
      <c r="F292" s="12"/>
      <c r="G292" s="38"/>
      <c r="H292" s="26" t="s">
        <v>70</v>
      </c>
      <c r="I292" s="12"/>
      <c r="J292" s="12"/>
      <c r="K292" s="242"/>
      <c r="L292" s="245"/>
      <c r="M292" s="25"/>
      <c r="N292" s="31"/>
      <c r="O292" s="32"/>
      <c r="P292" s="32"/>
      <c r="Q292" s="33"/>
    </row>
    <row r="293" spans="1:17" ht="33.75" customHeight="1">
      <c r="A293" s="16">
        <v>227</v>
      </c>
      <c r="B293" s="310" t="b">
        <v>0</v>
      </c>
      <c r="C293" s="12"/>
      <c r="D293" s="18"/>
      <c r="E293" s="14" t="s">
        <v>185</v>
      </c>
      <c r="F293" s="12"/>
      <c r="G293" s="38"/>
      <c r="H293" s="26" t="s">
        <v>70</v>
      </c>
      <c r="I293" s="12"/>
      <c r="J293" s="12"/>
      <c r="K293" s="242"/>
      <c r="L293" s="245"/>
      <c r="M293" s="25"/>
      <c r="N293" s="31"/>
      <c r="O293" s="32"/>
      <c r="P293" s="32"/>
      <c r="Q293" s="33"/>
    </row>
    <row r="294" spans="1:17" ht="33.75" customHeight="1">
      <c r="A294" s="16">
        <v>228</v>
      </c>
      <c r="B294" s="310" t="b">
        <v>0</v>
      </c>
      <c r="C294" s="12"/>
      <c r="D294" s="18"/>
      <c r="E294" s="14" t="s">
        <v>292</v>
      </c>
      <c r="F294" s="26"/>
      <c r="G294" s="38"/>
      <c r="H294" s="26" t="s">
        <v>70</v>
      </c>
      <c r="I294" s="12"/>
      <c r="J294" s="12"/>
      <c r="K294" s="242"/>
      <c r="L294" s="245"/>
      <c r="M294" s="25"/>
      <c r="N294" s="28" t="s">
        <v>62</v>
      </c>
      <c r="O294" s="32" t="s">
        <v>62</v>
      </c>
      <c r="P294" s="32" t="s">
        <v>62</v>
      </c>
      <c r="Q294" s="33" t="s">
        <v>62</v>
      </c>
    </row>
    <row r="295" spans="1:17" ht="33.75" customHeight="1">
      <c r="A295" s="16">
        <v>229</v>
      </c>
      <c r="B295" s="310" t="b">
        <v>0</v>
      </c>
      <c r="C295" s="12"/>
      <c r="D295" s="192"/>
      <c r="E295" s="14" t="s">
        <v>292</v>
      </c>
      <c r="F295" s="26"/>
      <c r="G295" s="38"/>
      <c r="H295" s="26" t="s">
        <v>70</v>
      </c>
      <c r="I295" s="12"/>
      <c r="J295" s="12"/>
      <c r="K295" s="242"/>
      <c r="L295" s="245"/>
      <c r="M295" s="25"/>
      <c r="N295" s="31"/>
      <c r="O295" s="32"/>
      <c r="P295" s="32"/>
      <c r="Q295" s="33"/>
    </row>
    <row r="296" spans="1:17" ht="33.75" customHeight="1">
      <c r="A296" s="16">
        <v>230</v>
      </c>
      <c r="B296" s="310" t="b">
        <v>0</v>
      </c>
      <c r="C296" s="12"/>
      <c r="D296" s="18"/>
      <c r="E296" s="14" t="s">
        <v>239</v>
      </c>
      <c r="F296" s="26"/>
      <c r="G296" s="38"/>
      <c r="H296" s="26" t="s">
        <v>70</v>
      </c>
      <c r="I296" s="12"/>
      <c r="J296" s="12"/>
      <c r="K296" s="242"/>
      <c r="L296" s="245"/>
      <c r="M296" s="25"/>
      <c r="N296" s="28" t="s">
        <v>385</v>
      </c>
      <c r="O296" s="32"/>
      <c r="P296" s="32"/>
      <c r="Q296" s="33"/>
    </row>
    <row r="297" spans="1:17" ht="33.75" customHeight="1">
      <c r="A297" s="16">
        <v>231</v>
      </c>
      <c r="B297" s="310" t="b">
        <v>0</v>
      </c>
      <c r="C297" s="12"/>
      <c r="D297" s="18"/>
      <c r="E297" s="14" t="s">
        <v>239</v>
      </c>
      <c r="F297" s="26"/>
      <c r="G297" s="38"/>
      <c r="H297" s="26" t="s">
        <v>70</v>
      </c>
      <c r="I297" s="12"/>
      <c r="J297" s="12"/>
      <c r="K297" s="242"/>
      <c r="L297" s="245"/>
      <c r="M297" s="25"/>
      <c r="N297" s="28" t="s">
        <v>385</v>
      </c>
      <c r="O297" s="32"/>
      <c r="P297" s="32"/>
      <c r="Q297" s="33"/>
    </row>
    <row r="298" spans="1:17" ht="33.75" customHeight="1">
      <c r="A298" s="16">
        <v>232</v>
      </c>
      <c r="B298" s="310" t="b">
        <v>0</v>
      </c>
      <c r="C298" s="12"/>
      <c r="D298" s="18"/>
      <c r="E298" s="14" t="s">
        <v>239</v>
      </c>
      <c r="F298" s="26"/>
      <c r="G298" s="38"/>
      <c r="H298" s="26" t="s">
        <v>70</v>
      </c>
      <c r="I298" s="12"/>
      <c r="J298" s="12"/>
      <c r="K298" s="242"/>
      <c r="L298" s="245"/>
      <c r="M298" s="25"/>
      <c r="N298" s="28" t="s">
        <v>385</v>
      </c>
      <c r="O298" s="32"/>
      <c r="P298" s="32"/>
      <c r="Q298" s="33"/>
    </row>
    <row r="299" spans="1:17" ht="33.75" customHeight="1">
      <c r="A299" s="16">
        <v>233</v>
      </c>
      <c r="B299" s="310" t="b">
        <v>0</v>
      </c>
      <c r="C299" s="12"/>
      <c r="D299" s="18" t="s">
        <v>693</v>
      </c>
      <c r="E299" s="14" t="s">
        <v>237</v>
      </c>
      <c r="F299" s="26">
        <v>26</v>
      </c>
      <c r="G299" s="38">
        <v>3</v>
      </c>
      <c r="H299" s="26" t="s">
        <v>70</v>
      </c>
      <c r="I299" s="12"/>
      <c r="J299" s="12"/>
      <c r="K299" s="242"/>
      <c r="L299" s="245"/>
      <c r="M299" s="25"/>
      <c r="N299" s="31" t="s">
        <v>775</v>
      </c>
      <c r="O299" s="32"/>
      <c r="P299" s="32"/>
      <c r="Q299" s="33"/>
    </row>
    <row r="300" spans="1:17" ht="33.75" customHeight="1">
      <c r="A300" s="16">
        <v>234</v>
      </c>
      <c r="B300" s="310" t="b">
        <v>0</v>
      </c>
      <c r="C300" s="12"/>
      <c r="D300" s="18"/>
      <c r="E300" s="14" t="s">
        <v>238</v>
      </c>
      <c r="F300" s="26"/>
      <c r="G300" s="38"/>
      <c r="H300" s="26" t="s">
        <v>72</v>
      </c>
      <c r="I300" s="12"/>
      <c r="J300" s="12"/>
      <c r="K300" s="242"/>
      <c r="L300" s="245"/>
      <c r="M300" s="25"/>
      <c r="N300" s="28" t="s">
        <v>430</v>
      </c>
      <c r="O300" s="32"/>
      <c r="P300" s="32"/>
      <c r="Q300" s="33"/>
    </row>
    <row r="301" spans="1:17" ht="33.75" customHeight="1">
      <c r="A301" s="16">
        <v>235</v>
      </c>
      <c r="B301" s="310" t="b">
        <v>0</v>
      </c>
      <c r="C301" s="12"/>
      <c r="D301" s="18"/>
      <c r="E301" s="14" t="s">
        <v>238</v>
      </c>
      <c r="F301" s="26"/>
      <c r="G301" s="38"/>
      <c r="H301" s="26" t="s">
        <v>72</v>
      </c>
      <c r="I301" s="12"/>
      <c r="J301" s="12"/>
      <c r="K301" s="242"/>
      <c r="L301" s="245"/>
      <c r="M301" s="25"/>
      <c r="N301" s="28" t="s">
        <v>431</v>
      </c>
      <c r="O301" s="32"/>
      <c r="P301" s="32"/>
      <c r="Q301" s="33"/>
    </row>
    <row r="302" spans="1:17" ht="33.75" customHeight="1">
      <c r="A302" s="16">
        <v>236</v>
      </c>
      <c r="B302" s="310" t="b">
        <v>0</v>
      </c>
      <c r="C302" s="12"/>
      <c r="D302" s="18"/>
      <c r="E302" s="14" t="s">
        <v>432</v>
      </c>
      <c r="F302" s="26"/>
      <c r="G302" s="38"/>
      <c r="H302" s="26" t="s">
        <v>72</v>
      </c>
      <c r="I302" s="12"/>
      <c r="J302" s="12"/>
      <c r="K302" s="242"/>
      <c r="L302" s="245"/>
      <c r="M302" s="25"/>
      <c r="N302" s="28" t="s">
        <v>422</v>
      </c>
      <c r="O302" s="32"/>
      <c r="P302" s="32"/>
      <c r="Q302" s="33"/>
    </row>
    <row r="303" spans="1:17" ht="33.75" customHeight="1">
      <c r="A303" s="16">
        <v>237</v>
      </c>
      <c r="B303" s="310" t="b">
        <v>0</v>
      </c>
      <c r="C303" s="12"/>
      <c r="D303" s="18"/>
      <c r="E303" s="14" t="s">
        <v>238</v>
      </c>
      <c r="F303" s="26"/>
      <c r="G303" s="38"/>
      <c r="H303" s="26" t="s">
        <v>70</v>
      </c>
      <c r="I303" s="12"/>
      <c r="J303" s="12"/>
      <c r="K303" s="242"/>
      <c r="L303" s="245"/>
      <c r="M303" s="25"/>
      <c r="N303" s="31"/>
      <c r="O303" s="32"/>
      <c r="P303" s="32"/>
      <c r="Q303" s="33"/>
    </row>
    <row r="304" spans="1:17" ht="33.75" customHeight="1">
      <c r="A304" s="16">
        <v>238</v>
      </c>
      <c r="B304" s="310" t="b">
        <v>0</v>
      </c>
      <c r="C304" s="12"/>
      <c r="D304" s="18"/>
      <c r="E304" s="14" t="s">
        <v>238</v>
      </c>
      <c r="F304" s="26"/>
      <c r="G304" s="38"/>
      <c r="H304" s="26" t="s">
        <v>70</v>
      </c>
      <c r="I304" s="12"/>
      <c r="J304" s="12"/>
      <c r="K304" s="242"/>
      <c r="L304" s="245"/>
      <c r="M304" s="25"/>
      <c r="N304" s="31"/>
      <c r="O304" s="32"/>
      <c r="P304" s="32"/>
      <c r="Q304" s="33"/>
    </row>
    <row r="305" spans="1:17" ht="33.75" customHeight="1">
      <c r="A305" s="16">
        <v>239</v>
      </c>
      <c r="B305" s="310" t="b">
        <v>0</v>
      </c>
      <c r="C305" s="12"/>
      <c r="D305" s="18"/>
      <c r="E305" s="14" t="s">
        <v>433</v>
      </c>
      <c r="F305" s="26"/>
      <c r="G305" s="38"/>
      <c r="H305" s="26" t="s">
        <v>70</v>
      </c>
      <c r="I305" s="12"/>
      <c r="J305" s="12"/>
      <c r="K305" s="242"/>
      <c r="L305" s="245"/>
      <c r="M305" s="25"/>
      <c r="N305" s="31"/>
      <c r="O305" s="32"/>
      <c r="P305" s="32"/>
      <c r="Q305" s="33"/>
    </row>
    <row r="306" spans="1:17" ht="33.75" customHeight="1">
      <c r="A306" s="16">
        <v>240</v>
      </c>
      <c r="B306" s="310" t="b">
        <v>0</v>
      </c>
      <c r="C306" s="12"/>
      <c r="D306" s="18"/>
      <c r="E306" s="14" t="s">
        <v>299</v>
      </c>
      <c r="F306" s="12"/>
      <c r="G306" s="38"/>
      <c r="H306" s="26" t="s">
        <v>70</v>
      </c>
      <c r="I306" s="12"/>
      <c r="J306" s="12"/>
      <c r="K306" s="242"/>
      <c r="L306" s="245"/>
      <c r="M306" s="25"/>
      <c r="N306" s="31"/>
      <c r="O306" s="32"/>
      <c r="P306" s="32"/>
      <c r="Q306" s="33"/>
    </row>
    <row r="307" spans="1:17" ht="33.75" customHeight="1">
      <c r="A307" s="16">
        <v>241</v>
      </c>
      <c r="B307" s="310" t="b">
        <v>0</v>
      </c>
      <c r="C307" s="12"/>
      <c r="D307" s="18"/>
      <c r="E307" s="14" t="s">
        <v>300</v>
      </c>
      <c r="F307" s="12"/>
      <c r="G307" s="38"/>
      <c r="H307" s="26" t="s">
        <v>70</v>
      </c>
      <c r="I307" s="12"/>
      <c r="J307" s="12"/>
      <c r="K307" s="242"/>
      <c r="L307" s="245"/>
      <c r="M307" s="25"/>
      <c r="N307" s="31"/>
      <c r="O307" s="32"/>
      <c r="P307" s="32"/>
      <c r="Q307" s="33"/>
    </row>
    <row r="308" spans="1:17" ht="33.75" customHeight="1">
      <c r="A308" s="16">
        <v>242</v>
      </c>
      <c r="B308" s="310" t="b">
        <v>0</v>
      </c>
      <c r="C308" s="12"/>
      <c r="D308" s="18"/>
      <c r="E308" s="14" t="s">
        <v>301</v>
      </c>
      <c r="F308" s="12"/>
      <c r="G308" s="38"/>
      <c r="H308" s="26" t="s">
        <v>70</v>
      </c>
      <c r="I308" s="12"/>
      <c r="J308" s="12"/>
      <c r="K308" s="242"/>
      <c r="L308" s="245"/>
      <c r="M308" s="25"/>
      <c r="N308" s="31"/>
      <c r="O308" s="32"/>
      <c r="P308" s="32"/>
      <c r="Q308" s="33"/>
    </row>
    <row r="309" spans="1:17" ht="33.75" customHeight="1">
      <c r="A309" s="16">
        <v>243</v>
      </c>
      <c r="B309" s="310" t="b">
        <v>0</v>
      </c>
      <c r="C309" s="12"/>
      <c r="D309" s="17"/>
      <c r="E309" s="14" t="s">
        <v>303</v>
      </c>
      <c r="F309" s="12"/>
      <c r="G309" s="38"/>
      <c r="H309" s="26" t="s">
        <v>70</v>
      </c>
      <c r="I309" s="12"/>
      <c r="J309" s="12"/>
      <c r="K309" s="242"/>
      <c r="L309" s="245"/>
      <c r="M309" s="25"/>
      <c r="N309" s="31"/>
      <c r="O309" s="32"/>
      <c r="P309" s="32"/>
      <c r="Q309" s="33"/>
    </row>
    <row r="310" spans="1:17" ht="33.75" customHeight="1">
      <c r="A310" s="16">
        <v>244</v>
      </c>
      <c r="B310" s="310" t="b">
        <v>0</v>
      </c>
      <c r="C310" s="12"/>
      <c r="D310" s="18"/>
      <c r="E310" s="14" t="s">
        <v>306</v>
      </c>
      <c r="F310" s="26"/>
      <c r="G310" s="38"/>
      <c r="H310" s="26" t="s">
        <v>70</v>
      </c>
      <c r="I310" s="12"/>
      <c r="J310" s="12"/>
      <c r="K310" s="242"/>
      <c r="L310" s="245"/>
      <c r="M310" s="25"/>
      <c r="N310" s="31"/>
      <c r="O310" s="32"/>
      <c r="P310" s="32"/>
      <c r="Q310" s="33"/>
    </row>
    <row r="311" spans="1:17" ht="33.75" customHeight="1">
      <c r="A311" s="16">
        <v>245</v>
      </c>
      <c r="B311" s="310" t="b">
        <v>0</v>
      </c>
      <c r="C311" s="12"/>
      <c r="D311" s="18"/>
      <c r="E311" s="14" t="s">
        <v>208</v>
      </c>
      <c r="F311" s="12"/>
      <c r="G311" s="38"/>
      <c r="H311" s="26" t="s">
        <v>70</v>
      </c>
      <c r="I311" s="12"/>
      <c r="J311" s="12"/>
      <c r="K311" s="242"/>
      <c r="L311" s="245"/>
      <c r="M311" s="25"/>
      <c r="N311" s="28" t="s">
        <v>422</v>
      </c>
      <c r="O311" s="32"/>
      <c r="P311" s="32"/>
      <c r="Q311" s="33"/>
    </row>
    <row r="312" spans="1:17" ht="33.75" customHeight="1">
      <c r="A312" s="16">
        <v>246</v>
      </c>
      <c r="B312" s="310" t="b">
        <v>0</v>
      </c>
      <c r="C312" s="12"/>
      <c r="D312" s="18"/>
      <c r="E312" s="14" t="s">
        <v>307</v>
      </c>
      <c r="F312" s="12"/>
      <c r="G312" s="38"/>
      <c r="H312" s="26" t="s">
        <v>70</v>
      </c>
      <c r="I312" s="12"/>
      <c r="J312" s="12"/>
      <c r="K312" s="242"/>
      <c r="L312" s="245"/>
      <c r="M312" s="25"/>
      <c r="N312" s="31"/>
      <c r="O312" s="32"/>
      <c r="P312" s="32"/>
      <c r="Q312" s="33"/>
    </row>
    <row r="313" spans="1:17" ht="33.75" customHeight="1">
      <c r="A313" s="16">
        <v>247</v>
      </c>
      <c r="B313" s="310" t="b">
        <v>0</v>
      </c>
      <c r="C313" s="12"/>
      <c r="D313" s="18"/>
      <c r="E313" s="14" t="s">
        <v>310</v>
      </c>
      <c r="F313" s="12"/>
      <c r="G313" s="38"/>
      <c r="H313" s="26" t="s">
        <v>70</v>
      </c>
      <c r="I313" s="12"/>
      <c r="J313" s="12"/>
      <c r="K313" s="242"/>
      <c r="L313" s="245"/>
      <c r="M313" s="25"/>
      <c r="N313" s="28" t="s">
        <v>422</v>
      </c>
      <c r="O313" s="32"/>
      <c r="P313" s="32"/>
      <c r="Q313" s="33"/>
    </row>
    <row r="314" spans="1:17" ht="33.75" customHeight="1">
      <c r="A314" s="16">
        <v>248</v>
      </c>
      <c r="B314" s="310" t="b">
        <v>0</v>
      </c>
      <c r="C314" s="12"/>
      <c r="D314" s="18"/>
      <c r="E314" s="14" t="s">
        <v>311</v>
      </c>
      <c r="F314" s="12"/>
      <c r="G314" s="38"/>
      <c r="H314" s="26" t="s">
        <v>70</v>
      </c>
      <c r="I314" s="12"/>
      <c r="J314" s="12"/>
      <c r="K314" s="242"/>
      <c r="L314" s="245"/>
      <c r="M314" s="25"/>
      <c r="N314" s="31"/>
      <c r="O314" s="32"/>
      <c r="P314" s="32"/>
      <c r="Q314" s="33"/>
    </row>
    <row r="315" spans="1:17" ht="33.75" customHeight="1">
      <c r="A315" s="16">
        <v>249</v>
      </c>
      <c r="B315" s="310" t="b">
        <v>0</v>
      </c>
      <c r="C315" s="12"/>
      <c r="D315" s="18"/>
      <c r="E315" s="14" t="s">
        <v>312</v>
      </c>
      <c r="F315" s="12"/>
      <c r="G315" s="38"/>
      <c r="H315" s="26" t="s">
        <v>70</v>
      </c>
      <c r="I315" s="12"/>
      <c r="J315" s="12"/>
      <c r="K315" s="242"/>
      <c r="L315" s="245"/>
      <c r="M315" s="25"/>
      <c r="N315" s="31"/>
      <c r="O315" s="32"/>
      <c r="P315" s="32"/>
      <c r="Q315" s="33"/>
    </row>
    <row r="316" spans="1:17" ht="33.75" customHeight="1">
      <c r="A316" s="16">
        <v>250</v>
      </c>
      <c r="B316" s="310" t="b">
        <v>0</v>
      </c>
      <c r="C316" s="12"/>
      <c r="D316" s="18"/>
      <c r="E316" s="14" t="s">
        <v>313</v>
      </c>
      <c r="F316" s="12"/>
      <c r="G316" s="38"/>
      <c r="H316" s="26" t="s">
        <v>70</v>
      </c>
      <c r="I316" s="12"/>
      <c r="J316" s="12"/>
      <c r="K316" s="242"/>
      <c r="L316" s="245"/>
      <c r="M316" s="25"/>
      <c r="N316" s="31"/>
      <c r="O316" s="32"/>
      <c r="P316" s="32"/>
      <c r="Q316" s="33"/>
    </row>
    <row r="317" spans="1:17" ht="33.75" customHeight="1">
      <c r="A317" s="16">
        <v>251</v>
      </c>
      <c r="B317" s="310" t="b">
        <v>0</v>
      </c>
      <c r="C317" s="12"/>
      <c r="D317" s="18"/>
      <c r="E317" s="14" t="s">
        <v>316</v>
      </c>
      <c r="F317" s="12"/>
      <c r="G317" s="38"/>
      <c r="H317" s="26" t="s">
        <v>70</v>
      </c>
      <c r="I317" s="12"/>
      <c r="J317" s="12"/>
      <c r="K317" s="242"/>
      <c r="L317" s="245"/>
      <c r="M317" s="25"/>
      <c r="N317" s="31"/>
      <c r="O317" s="32"/>
      <c r="P317" s="32"/>
      <c r="Q317" s="33"/>
    </row>
    <row r="318" spans="1:17" ht="33.75" customHeight="1">
      <c r="A318" s="16">
        <v>252</v>
      </c>
      <c r="B318" s="310" t="b">
        <v>0</v>
      </c>
      <c r="C318" s="12" t="s">
        <v>61</v>
      </c>
      <c r="D318" s="18"/>
      <c r="E318" s="14" t="s">
        <v>317</v>
      </c>
      <c r="F318" s="12"/>
      <c r="G318" s="38"/>
      <c r="H318" s="26" t="s">
        <v>70</v>
      </c>
      <c r="I318" s="12"/>
      <c r="J318" s="12"/>
      <c r="K318" s="242"/>
      <c r="L318" s="245"/>
      <c r="M318" s="25"/>
      <c r="N318" s="31"/>
      <c r="O318" s="32"/>
      <c r="P318" s="32"/>
      <c r="Q318" s="33"/>
    </row>
    <row r="319" spans="1:17" ht="33.75" customHeight="1">
      <c r="A319" s="16">
        <v>253</v>
      </c>
      <c r="B319" s="310" t="b">
        <v>0</v>
      </c>
      <c r="C319" s="12"/>
      <c r="D319" s="18"/>
      <c r="E319" s="14" t="s">
        <v>318</v>
      </c>
      <c r="F319" s="12"/>
      <c r="G319" s="38"/>
      <c r="H319" s="26" t="s">
        <v>70</v>
      </c>
      <c r="I319" s="12"/>
      <c r="J319" s="12"/>
      <c r="K319" s="242"/>
      <c r="L319" s="245"/>
      <c r="M319" s="25"/>
      <c r="N319" s="31"/>
      <c r="O319" s="32"/>
      <c r="P319" s="32"/>
      <c r="Q319" s="33"/>
    </row>
    <row r="320" spans="1:17" ht="33.75" customHeight="1">
      <c r="A320" s="16">
        <v>254</v>
      </c>
      <c r="B320" s="310" t="b">
        <v>0</v>
      </c>
      <c r="C320" s="12"/>
      <c r="D320" s="18"/>
      <c r="E320" s="14" t="s">
        <v>319</v>
      </c>
      <c r="F320" s="12"/>
      <c r="G320" s="38"/>
      <c r="H320" s="26" t="s">
        <v>70</v>
      </c>
      <c r="I320" s="12"/>
      <c r="J320" s="12"/>
      <c r="K320" s="242"/>
      <c r="L320" s="245"/>
      <c r="M320" s="25"/>
      <c r="N320" s="31"/>
      <c r="O320" s="32"/>
      <c r="P320" s="32"/>
      <c r="Q320" s="33"/>
    </row>
    <row r="321" spans="1:17" ht="33.75" customHeight="1">
      <c r="A321" s="16">
        <v>255</v>
      </c>
      <c r="B321" s="310" t="b">
        <v>0</v>
      </c>
      <c r="C321" s="12"/>
      <c r="D321" s="18"/>
      <c r="E321" s="14" t="s">
        <v>322</v>
      </c>
      <c r="F321" s="12"/>
      <c r="G321" s="38"/>
      <c r="H321" s="26" t="s">
        <v>70</v>
      </c>
      <c r="I321" s="12"/>
      <c r="J321" s="12"/>
      <c r="K321" s="242"/>
      <c r="L321" s="245"/>
      <c r="M321" s="25"/>
      <c r="N321" s="31"/>
      <c r="O321" s="32"/>
      <c r="P321" s="32"/>
      <c r="Q321" s="33"/>
    </row>
    <row r="322" spans="1:17" ht="33.75" customHeight="1">
      <c r="A322" s="16">
        <v>256</v>
      </c>
      <c r="B322" s="310" t="b">
        <v>0</v>
      </c>
      <c r="C322" s="12"/>
      <c r="D322" s="18"/>
      <c r="E322" s="14" t="s">
        <v>323</v>
      </c>
      <c r="F322" s="12"/>
      <c r="G322" s="38"/>
      <c r="H322" s="26" t="s">
        <v>72</v>
      </c>
      <c r="I322" s="12"/>
      <c r="J322" s="12"/>
      <c r="K322" s="242"/>
      <c r="L322" s="245"/>
      <c r="M322" s="25"/>
      <c r="N322" s="31"/>
      <c r="O322" s="32"/>
      <c r="P322" s="32"/>
      <c r="Q322" s="33"/>
    </row>
    <row r="323" spans="1:17" ht="33.75" customHeight="1">
      <c r="A323" s="16">
        <v>257</v>
      </c>
      <c r="B323" s="310" t="b">
        <v>1</v>
      </c>
      <c r="C323" s="12"/>
      <c r="D323" s="18" t="s">
        <v>515</v>
      </c>
      <c r="E323" s="14" t="s">
        <v>326</v>
      </c>
      <c r="F323" s="26">
        <v>3</v>
      </c>
      <c r="G323" s="38">
        <v>2</v>
      </c>
      <c r="H323" s="26" t="s">
        <v>70</v>
      </c>
      <c r="I323" s="12"/>
      <c r="J323" s="12"/>
      <c r="K323" s="242"/>
      <c r="L323" s="245"/>
      <c r="M323" s="25"/>
      <c r="N323" s="31"/>
      <c r="O323" s="32"/>
      <c r="P323" s="32"/>
      <c r="Q323" s="33"/>
    </row>
    <row r="324" spans="1:17" ht="33.75" customHeight="1">
      <c r="A324" s="16">
        <v>257</v>
      </c>
      <c r="B324" s="310" t="b">
        <v>1</v>
      </c>
      <c r="C324" s="12"/>
      <c r="D324" s="18" t="s">
        <v>515</v>
      </c>
      <c r="E324" s="14" t="s">
        <v>326</v>
      </c>
      <c r="F324" s="26">
        <v>4</v>
      </c>
      <c r="G324" s="38">
        <v>1</v>
      </c>
      <c r="H324" s="26" t="s">
        <v>70</v>
      </c>
      <c r="I324" s="12"/>
      <c r="J324" s="12"/>
      <c r="K324" s="242"/>
      <c r="L324" s="245"/>
      <c r="M324" s="25"/>
      <c r="N324" s="31"/>
      <c r="O324" s="32"/>
      <c r="P324" s="32"/>
      <c r="Q324" s="33"/>
    </row>
    <row r="325" spans="1:17" ht="33.75" customHeight="1">
      <c r="A325" s="16">
        <v>258</v>
      </c>
      <c r="B325" s="310" t="b">
        <v>0</v>
      </c>
      <c r="C325" s="12"/>
      <c r="D325" s="18"/>
      <c r="E325" s="14" t="s">
        <v>327</v>
      </c>
      <c r="F325" s="26"/>
      <c r="G325" s="38"/>
      <c r="H325" s="26" t="s">
        <v>70</v>
      </c>
      <c r="I325" s="12"/>
      <c r="J325" s="12"/>
      <c r="K325" s="242"/>
      <c r="L325" s="245"/>
      <c r="M325" s="25"/>
      <c r="N325" s="31"/>
      <c r="O325" s="32"/>
      <c r="P325" s="32"/>
      <c r="Q325" s="33"/>
    </row>
    <row r="326" spans="1:17" ht="33.75" customHeight="1">
      <c r="A326" s="16">
        <v>259</v>
      </c>
      <c r="B326" s="310" t="b">
        <v>0</v>
      </c>
      <c r="C326" s="12"/>
      <c r="D326" s="18"/>
      <c r="E326" s="14" t="s">
        <v>327</v>
      </c>
      <c r="F326" s="26"/>
      <c r="G326" s="38"/>
      <c r="H326" s="26" t="s">
        <v>70</v>
      </c>
      <c r="I326" s="12"/>
      <c r="J326" s="12"/>
      <c r="K326" s="242"/>
      <c r="L326" s="245"/>
      <c r="M326" s="25"/>
      <c r="N326" s="31"/>
      <c r="O326" s="32"/>
      <c r="P326" s="32"/>
      <c r="Q326" s="33"/>
    </row>
    <row r="327" spans="1:17" ht="33.75" customHeight="1">
      <c r="A327" s="16">
        <v>260</v>
      </c>
      <c r="B327" s="310" t="b">
        <v>0</v>
      </c>
      <c r="C327" s="12"/>
      <c r="D327" s="18"/>
      <c r="E327" s="14" t="s">
        <v>328</v>
      </c>
      <c r="F327" s="26"/>
      <c r="G327" s="38"/>
      <c r="H327" s="26" t="s">
        <v>70</v>
      </c>
      <c r="I327" s="12"/>
      <c r="J327" s="12"/>
      <c r="K327" s="242"/>
      <c r="L327" s="245"/>
      <c r="M327" s="25"/>
      <c r="N327" s="31"/>
      <c r="O327" s="32"/>
      <c r="P327" s="32"/>
      <c r="Q327" s="33"/>
    </row>
    <row r="328" spans="1:17" ht="33.75" customHeight="1">
      <c r="A328" s="16">
        <v>261</v>
      </c>
      <c r="B328" s="310" t="b">
        <v>0</v>
      </c>
      <c r="C328" s="12"/>
      <c r="D328" s="18"/>
      <c r="E328" s="14" t="s">
        <v>329</v>
      </c>
      <c r="F328" s="26"/>
      <c r="G328" s="38"/>
      <c r="H328" s="26" t="s">
        <v>70</v>
      </c>
      <c r="I328" s="12"/>
      <c r="J328" s="12"/>
      <c r="K328" s="242"/>
      <c r="L328" s="245"/>
      <c r="M328" s="25"/>
      <c r="N328" s="31"/>
      <c r="O328" s="32"/>
      <c r="P328" s="32"/>
      <c r="Q328" s="33"/>
    </row>
    <row r="329" spans="1:17" ht="33.75" customHeight="1">
      <c r="A329" s="16">
        <v>262</v>
      </c>
      <c r="B329" s="310" t="b">
        <v>0</v>
      </c>
      <c r="C329" s="12"/>
      <c r="D329" s="18"/>
      <c r="E329" s="14" t="s">
        <v>329</v>
      </c>
      <c r="F329" s="26"/>
      <c r="G329" s="38"/>
      <c r="H329" s="26" t="s">
        <v>70</v>
      </c>
      <c r="I329" s="12"/>
      <c r="J329" s="12"/>
      <c r="K329" s="242"/>
      <c r="L329" s="245"/>
      <c r="M329" s="25"/>
      <c r="N329" s="31"/>
      <c r="O329" s="32"/>
      <c r="P329" s="32"/>
      <c r="Q329" s="33"/>
    </row>
    <row r="330" spans="1:17" ht="33.75" customHeight="1">
      <c r="A330" s="16">
        <v>263</v>
      </c>
      <c r="B330" s="310" t="b">
        <v>0</v>
      </c>
      <c r="C330" s="12"/>
      <c r="D330" s="18"/>
      <c r="E330" s="14" t="s">
        <v>329</v>
      </c>
      <c r="F330" s="26"/>
      <c r="G330" s="38"/>
      <c r="H330" s="26" t="s">
        <v>70</v>
      </c>
      <c r="I330" s="12"/>
      <c r="J330" s="12"/>
      <c r="K330" s="242"/>
      <c r="L330" s="245"/>
      <c r="M330" s="25"/>
      <c r="N330" s="31"/>
      <c r="O330" s="32"/>
      <c r="P330" s="32"/>
      <c r="Q330" s="33"/>
    </row>
    <row r="331" spans="1:17" ht="33.75" customHeight="1">
      <c r="A331" s="16">
        <v>264</v>
      </c>
      <c r="B331" s="310" t="b">
        <v>0</v>
      </c>
      <c r="C331" s="12"/>
      <c r="D331" s="18"/>
      <c r="E331" s="14" t="s">
        <v>329</v>
      </c>
      <c r="F331" s="26"/>
      <c r="G331" s="38"/>
      <c r="H331" s="26" t="s">
        <v>70</v>
      </c>
      <c r="I331" s="12"/>
      <c r="J331" s="12"/>
      <c r="K331" s="242"/>
      <c r="L331" s="245"/>
      <c r="M331" s="25"/>
      <c r="N331" s="31"/>
      <c r="O331" s="32"/>
      <c r="P331" s="32"/>
      <c r="Q331" s="33"/>
    </row>
    <row r="332" spans="1:17" ht="33.75" customHeight="1">
      <c r="A332" s="16">
        <v>265</v>
      </c>
      <c r="B332" s="310" t="b">
        <v>0</v>
      </c>
      <c r="C332" s="12"/>
      <c r="D332" s="18"/>
      <c r="E332" s="14" t="s">
        <v>329</v>
      </c>
      <c r="F332" s="26"/>
      <c r="G332" s="38"/>
      <c r="H332" s="26" t="s">
        <v>70</v>
      </c>
      <c r="I332" s="12"/>
      <c r="J332" s="12"/>
      <c r="K332" s="242"/>
      <c r="L332" s="245"/>
      <c r="M332" s="25"/>
      <c r="N332" s="31"/>
      <c r="O332" s="32"/>
      <c r="P332" s="32"/>
      <c r="Q332" s="33"/>
    </row>
    <row r="333" spans="1:17" ht="33.75" customHeight="1">
      <c r="A333" s="16">
        <v>266</v>
      </c>
      <c r="B333" s="310" t="b">
        <v>0</v>
      </c>
      <c r="C333" s="12"/>
      <c r="D333" s="18"/>
      <c r="E333" s="14" t="s">
        <v>331</v>
      </c>
      <c r="F333" s="26"/>
      <c r="G333" s="38"/>
      <c r="H333" s="26" t="s">
        <v>72</v>
      </c>
      <c r="I333" s="12"/>
      <c r="J333" s="12"/>
      <c r="K333" s="242"/>
      <c r="L333" s="245"/>
      <c r="M333" s="25"/>
      <c r="N333" s="31"/>
      <c r="O333" s="32"/>
      <c r="P333" s="32"/>
      <c r="Q333" s="33"/>
    </row>
    <row r="334" spans="1:17" ht="33.75" customHeight="1">
      <c r="A334" s="16">
        <v>267</v>
      </c>
      <c r="B334" s="310" t="b">
        <v>0</v>
      </c>
      <c r="C334" s="12"/>
      <c r="D334" s="18"/>
      <c r="E334" s="14" t="s">
        <v>332</v>
      </c>
      <c r="F334" s="26"/>
      <c r="G334" s="38"/>
      <c r="H334" s="26" t="s">
        <v>70</v>
      </c>
      <c r="I334" s="12"/>
      <c r="J334" s="12"/>
      <c r="K334" s="242"/>
      <c r="L334" s="245"/>
      <c r="M334" s="25"/>
      <c r="N334" s="31"/>
      <c r="O334" s="32"/>
      <c r="P334" s="32"/>
      <c r="Q334" s="33"/>
    </row>
    <row r="335" spans="1:17" ht="33.75" customHeight="1">
      <c r="A335" s="16">
        <v>268</v>
      </c>
      <c r="B335" s="310" t="b">
        <v>0</v>
      </c>
      <c r="C335" s="12"/>
      <c r="D335" s="18"/>
      <c r="E335" s="14" t="s">
        <v>333</v>
      </c>
      <c r="F335" s="26"/>
      <c r="G335" s="38"/>
      <c r="H335" s="26" t="s">
        <v>70</v>
      </c>
      <c r="I335" s="12"/>
      <c r="J335" s="12"/>
      <c r="K335" s="242"/>
      <c r="L335" s="245"/>
      <c r="M335" s="25"/>
      <c r="N335" s="31"/>
      <c r="O335" s="32"/>
      <c r="P335" s="32"/>
      <c r="Q335" s="33"/>
    </row>
    <row r="336" spans="1:17" ht="33.75" customHeight="1">
      <c r="A336" s="16">
        <v>269</v>
      </c>
      <c r="B336" s="310" t="b">
        <v>0</v>
      </c>
      <c r="C336" s="12"/>
      <c r="D336" s="18"/>
      <c r="E336" s="14" t="s">
        <v>333</v>
      </c>
      <c r="F336" s="26"/>
      <c r="G336" s="38"/>
      <c r="H336" s="26" t="s">
        <v>70</v>
      </c>
      <c r="I336" s="12"/>
      <c r="J336" s="12"/>
      <c r="K336" s="242"/>
      <c r="L336" s="245"/>
      <c r="M336" s="25"/>
      <c r="N336" s="31"/>
      <c r="O336" s="32"/>
      <c r="P336" s="32"/>
      <c r="Q336" s="33"/>
    </row>
    <row r="337" spans="1:17" ht="33.75" customHeight="1">
      <c r="A337" s="16">
        <v>270</v>
      </c>
      <c r="B337" s="310" t="b">
        <v>0</v>
      </c>
      <c r="C337" s="12"/>
      <c r="D337" s="18"/>
      <c r="E337" s="14" t="s">
        <v>333</v>
      </c>
      <c r="F337" s="26"/>
      <c r="G337" s="38"/>
      <c r="H337" s="26" t="s">
        <v>70</v>
      </c>
      <c r="I337" s="12"/>
      <c r="J337" s="12"/>
      <c r="K337" s="242"/>
      <c r="L337" s="245"/>
      <c r="M337" s="25"/>
      <c r="N337" s="31"/>
      <c r="O337" s="32"/>
      <c r="P337" s="32"/>
      <c r="Q337" s="33"/>
    </row>
    <row r="338" spans="1:17" ht="33.75" customHeight="1">
      <c r="A338" s="16">
        <v>271</v>
      </c>
      <c r="B338" s="310" t="b">
        <v>0</v>
      </c>
      <c r="C338" s="12"/>
      <c r="D338" s="18" t="s">
        <v>375</v>
      </c>
      <c r="E338" s="14" t="s">
        <v>334</v>
      </c>
      <c r="F338" s="26"/>
      <c r="G338" s="38"/>
      <c r="H338" s="26" t="s">
        <v>70</v>
      </c>
      <c r="I338" s="12"/>
      <c r="J338" s="12"/>
      <c r="K338" s="242"/>
      <c r="L338" s="245"/>
      <c r="M338" s="25"/>
      <c r="N338" s="31"/>
      <c r="O338" s="32"/>
      <c r="P338" s="32"/>
      <c r="Q338" s="33"/>
    </row>
    <row r="339" spans="1:17" ht="33.75" customHeight="1">
      <c r="A339" s="16">
        <v>272</v>
      </c>
      <c r="B339" s="310" t="b">
        <v>0</v>
      </c>
      <c r="C339" s="12"/>
      <c r="D339" s="18" t="s">
        <v>376</v>
      </c>
      <c r="E339" s="14" t="s">
        <v>255</v>
      </c>
      <c r="F339" s="26"/>
      <c r="G339" s="38"/>
      <c r="H339" s="26" t="s">
        <v>70</v>
      </c>
      <c r="I339" s="12"/>
      <c r="J339" s="12"/>
      <c r="K339" s="242"/>
      <c r="L339" s="245"/>
      <c r="M339" s="25"/>
      <c r="N339" s="31"/>
      <c r="O339" s="32"/>
      <c r="P339" s="32"/>
      <c r="Q339" s="33"/>
    </row>
    <row r="340" spans="1:17" ht="33.75" customHeight="1">
      <c r="A340" s="16">
        <v>273</v>
      </c>
      <c r="B340" s="310" t="b">
        <v>0</v>
      </c>
      <c r="C340" s="12"/>
      <c r="D340" s="18" t="s">
        <v>355</v>
      </c>
      <c r="E340" s="14" t="s">
        <v>335</v>
      </c>
      <c r="F340" s="26"/>
      <c r="G340" s="38"/>
      <c r="H340" s="26" t="s">
        <v>70</v>
      </c>
      <c r="I340" s="12"/>
      <c r="J340" s="12"/>
      <c r="K340" s="242"/>
      <c r="L340" s="245"/>
      <c r="M340" s="25"/>
      <c r="N340" s="31"/>
      <c r="O340" s="32"/>
      <c r="P340" s="32"/>
      <c r="Q340" s="33"/>
    </row>
    <row r="341" spans="1:17" ht="33.75" customHeight="1">
      <c r="A341" s="16">
        <v>274</v>
      </c>
      <c r="B341" s="310" t="b">
        <v>0</v>
      </c>
      <c r="C341" s="12"/>
      <c r="D341" s="18" t="s">
        <v>354</v>
      </c>
      <c r="E341" s="14" t="s">
        <v>253</v>
      </c>
      <c r="F341" s="26"/>
      <c r="G341" s="38"/>
      <c r="H341" s="26" t="s">
        <v>70</v>
      </c>
      <c r="I341" s="12"/>
      <c r="J341" s="12"/>
      <c r="K341" s="242"/>
      <c r="L341" s="245"/>
      <c r="M341" s="25"/>
      <c r="N341" s="31"/>
      <c r="O341" s="32"/>
      <c r="P341" s="32"/>
      <c r="Q341" s="33"/>
    </row>
    <row r="342" spans="1:17" ht="33.75" customHeight="1">
      <c r="A342" s="16">
        <v>275</v>
      </c>
      <c r="B342" s="310" t="b">
        <v>0</v>
      </c>
      <c r="C342" s="12"/>
      <c r="D342" s="18" t="s">
        <v>377</v>
      </c>
      <c r="E342" s="14" t="s">
        <v>336</v>
      </c>
      <c r="F342" s="26"/>
      <c r="G342" s="38"/>
      <c r="H342" s="26" t="s">
        <v>70</v>
      </c>
      <c r="I342" s="12"/>
      <c r="J342" s="12"/>
      <c r="K342" s="242"/>
      <c r="L342" s="245"/>
      <c r="M342" s="25"/>
      <c r="N342" s="31"/>
      <c r="O342" s="32"/>
      <c r="P342" s="32"/>
      <c r="Q342" s="33"/>
    </row>
    <row r="343" spans="1:17" ht="33.75" customHeight="1">
      <c r="A343" s="16">
        <v>276</v>
      </c>
      <c r="B343" s="310" t="b">
        <v>0</v>
      </c>
      <c r="C343" s="12"/>
      <c r="D343" s="18" t="s">
        <v>378</v>
      </c>
      <c r="E343" s="14" t="s">
        <v>337</v>
      </c>
      <c r="F343" s="26"/>
      <c r="G343" s="38"/>
      <c r="H343" s="26" t="s">
        <v>70</v>
      </c>
      <c r="I343" s="12"/>
      <c r="J343" s="12"/>
      <c r="K343" s="242"/>
      <c r="L343" s="245"/>
      <c r="M343" s="25"/>
      <c r="N343" s="31"/>
      <c r="O343" s="32"/>
      <c r="P343" s="32"/>
      <c r="Q343" s="33"/>
    </row>
    <row r="344" spans="1:17" ht="33.75" customHeight="1">
      <c r="A344" s="16">
        <v>277</v>
      </c>
      <c r="B344" s="310" t="b">
        <v>0</v>
      </c>
      <c r="C344" s="12"/>
      <c r="D344" s="156" t="s">
        <v>379</v>
      </c>
      <c r="E344" s="14" t="s">
        <v>338</v>
      </c>
      <c r="F344" s="26"/>
      <c r="G344" s="38"/>
      <c r="H344" s="26" t="s">
        <v>70</v>
      </c>
      <c r="I344" s="12"/>
      <c r="J344" s="12"/>
      <c r="K344" s="242"/>
      <c r="L344" s="245"/>
      <c r="M344" s="25"/>
      <c r="N344" s="31"/>
      <c r="O344" s="32"/>
      <c r="P344" s="32"/>
      <c r="Q344" s="33"/>
    </row>
    <row r="345" spans="1:17" ht="33.75" customHeight="1">
      <c r="A345" s="16">
        <v>278</v>
      </c>
      <c r="B345" s="310" t="b">
        <v>0</v>
      </c>
      <c r="C345" s="12"/>
      <c r="D345" s="18"/>
      <c r="E345" s="14" t="s">
        <v>204</v>
      </c>
      <c r="F345" s="26"/>
      <c r="G345" s="38"/>
      <c r="H345" s="26" t="s">
        <v>70</v>
      </c>
      <c r="I345" s="12"/>
      <c r="J345" s="12"/>
      <c r="K345" s="242"/>
      <c r="L345" s="245"/>
      <c r="M345" s="25"/>
      <c r="N345" s="31"/>
      <c r="O345" s="32"/>
      <c r="P345" s="32"/>
      <c r="Q345" s="33"/>
    </row>
    <row r="346" spans="1:17" ht="33.75" customHeight="1">
      <c r="A346" s="16">
        <v>279</v>
      </c>
      <c r="B346" s="310" t="b">
        <v>0</v>
      </c>
      <c r="C346" s="12"/>
      <c r="D346" s="18"/>
      <c r="E346" s="14" t="s">
        <v>228</v>
      </c>
      <c r="F346" s="26"/>
      <c r="G346" s="38"/>
      <c r="H346" s="26" t="s">
        <v>70</v>
      </c>
      <c r="I346" s="12"/>
      <c r="J346" s="12"/>
      <c r="K346" s="242"/>
      <c r="L346" s="245"/>
      <c r="M346" s="25"/>
      <c r="N346" s="31"/>
      <c r="O346" s="32"/>
      <c r="P346" s="32"/>
      <c r="Q346" s="33"/>
    </row>
    <row r="347" spans="1:17" ht="33.75" customHeight="1">
      <c r="A347" s="16">
        <v>280</v>
      </c>
      <c r="B347" s="310" t="b">
        <v>0</v>
      </c>
      <c r="C347" s="12"/>
      <c r="D347" s="18"/>
      <c r="E347" s="14" t="s">
        <v>339</v>
      </c>
      <c r="F347" s="26"/>
      <c r="G347" s="38"/>
      <c r="H347" s="26" t="s">
        <v>70</v>
      </c>
      <c r="I347" s="12"/>
      <c r="J347" s="12"/>
      <c r="K347" s="242"/>
      <c r="L347" s="245"/>
      <c r="M347" s="25"/>
      <c r="N347" s="31"/>
      <c r="O347" s="32"/>
      <c r="P347" s="32"/>
      <c r="Q347" s="33"/>
    </row>
    <row r="348" spans="1:17" ht="33.75" customHeight="1">
      <c r="A348" s="16">
        <v>281</v>
      </c>
      <c r="B348" s="310" t="b">
        <v>0</v>
      </c>
      <c r="C348" s="12"/>
      <c r="D348" s="18"/>
      <c r="E348" s="14" t="s">
        <v>305</v>
      </c>
      <c r="F348" s="26"/>
      <c r="G348" s="38"/>
      <c r="H348" s="26" t="s">
        <v>70</v>
      </c>
      <c r="I348" s="12"/>
      <c r="J348" s="12"/>
      <c r="K348" s="242"/>
      <c r="L348" s="245"/>
      <c r="M348" s="25"/>
      <c r="N348" s="31"/>
      <c r="O348" s="32"/>
      <c r="P348" s="32"/>
      <c r="Q348" s="33"/>
    </row>
    <row r="349" spans="1:17" ht="33.75" customHeight="1">
      <c r="A349" s="16">
        <v>282</v>
      </c>
      <c r="B349" s="310" t="b">
        <v>0</v>
      </c>
      <c r="C349" s="12"/>
      <c r="D349" s="18"/>
      <c r="E349" s="14" t="s">
        <v>340</v>
      </c>
      <c r="F349" s="26"/>
      <c r="G349" s="38"/>
      <c r="H349" s="26" t="s">
        <v>70</v>
      </c>
      <c r="I349" s="12"/>
      <c r="J349" s="12"/>
      <c r="K349" s="242"/>
      <c r="L349" s="245"/>
      <c r="M349" s="25"/>
      <c r="N349" s="31"/>
      <c r="O349" s="32"/>
      <c r="P349" s="32"/>
      <c r="Q349" s="33"/>
    </row>
    <row r="350" spans="1:17" ht="33.75" customHeight="1">
      <c r="A350" s="16">
        <v>283</v>
      </c>
      <c r="B350" s="310" t="b">
        <v>0</v>
      </c>
      <c r="C350" s="12"/>
      <c r="D350" s="18"/>
      <c r="E350" s="14" t="s">
        <v>341</v>
      </c>
      <c r="F350" s="26"/>
      <c r="G350" s="38"/>
      <c r="H350" s="26" t="s">
        <v>70</v>
      </c>
      <c r="I350" s="12"/>
      <c r="J350" s="12"/>
      <c r="K350" s="242"/>
      <c r="L350" s="245"/>
      <c r="M350" s="25"/>
      <c r="N350" s="31"/>
      <c r="O350" s="32"/>
      <c r="P350" s="32"/>
      <c r="Q350" s="33"/>
    </row>
    <row r="351" spans="1:17" ht="33.75" customHeight="1">
      <c r="A351" s="16">
        <v>284</v>
      </c>
      <c r="B351" s="310" t="b">
        <v>0</v>
      </c>
      <c r="C351" s="12"/>
      <c r="D351" s="18"/>
      <c r="E351" s="14" t="s">
        <v>227</v>
      </c>
      <c r="F351" s="26"/>
      <c r="G351" s="38"/>
      <c r="H351" s="26" t="s">
        <v>70</v>
      </c>
      <c r="I351" s="12"/>
      <c r="J351" s="12"/>
      <c r="K351" s="242"/>
      <c r="L351" s="245"/>
      <c r="M351" s="25"/>
      <c r="N351" s="31"/>
      <c r="O351" s="32"/>
      <c r="P351" s="32"/>
      <c r="Q351" s="33"/>
    </row>
    <row r="352" spans="1:17" ht="33.75" customHeight="1">
      <c r="A352" s="16">
        <v>285</v>
      </c>
      <c r="B352" s="310" t="b">
        <v>0</v>
      </c>
      <c r="C352" s="12"/>
      <c r="D352" s="18"/>
      <c r="E352" s="14" t="s">
        <v>342</v>
      </c>
      <c r="F352" s="26"/>
      <c r="G352" s="38"/>
      <c r="H352" s="26" t="s">
        <v>70</v>
      </c>
      <c r="I352" s="12"/>
      <c r="J352" s="12"/>
      <c r="K352" s="242"/>
      <c r="L352" s="245"/>
      <c r="M352" s="25"/>
      <c r="N352" s="31"/>
      <c r="O352" s="32"/>
      <c r="P352" s="32"/>
      <c r="Q352" s="33"/>
    </row>
    <row r="353" spans="1:17" ht="33.75" customHeight="1">
      <c r="A353" s="16">
        <v>286</v>
      </c>
      <c r="B353" s="310" t="b">
        <v>0</v>
      </c>
      <c r="C353" s="12"/>
      <c r="D353" s="18"/>
      <c r="E353" s="14" t="s">
        <v>343</v>
      </c>
      <c r="F353" s="26"/>
      <c r="G353" s="38"/>
      <c r="H353" s="26" t="s">
        <v>70</v>
      </c>
      <c r="I353" s="12"/>
      <c r="J353" s="12"/>
      <c r="K353" s="242"/>
      <c r="L353" s="245"/>
      <c r="M353" s="25"/>
      <c r="N353" s="31"/>
      <c r="O353" s="32"/>
      <c r="P353" s="32"/>
      <c r="Q353" s="33"/>
    </row>
    <row r="354" spans="1:17" ht="33.75" customHeight="1">
      <c r="A354" s="16">
        <v>287</v>
      </c>
      <c r="B354" s="310" t="b">
        <v>0</v>
      </c>
      <c r="C354" s="12"/>
      <c r="D354" s="18"/>
      <c r="E354" s="14" t="s">
        <v>344</v>
      </c>
      <c r="F354" s="26"/>
      <c r="G354" s="38"/>
      <c r="H354" s="26" t="s">
        <v>70</v>
      </c>
      <c r="I354" s="12"/>
      <c r="J354" s="12"/>
      <c r="K354" s="242"/>
      <c r="L354" s="245"/>
      <c r="M354" s="25"/>
      <c r="N354" s="31"/>
      <c r="O354" s="32"/>
      <c r="P354" s="32"/>
      <c r="Q354" s="33"/>
    </row>
    <row r="355" spans="1:17" ht="33.75" customHeight="1">
      <c r="A355" s="16">
        <v>288</v>
      </c>
      <c r="B355" s="310" t="b">
        <v>0</v>
      </c>
      <c r="C355" s="12"/>
      <c r="D355" s="18"/>
      <c r="E355" s="14" t="s">
        <v>345</v>
      </c>
      <c r="F355" s="26"/>
      <c r="G355" s="38"/>
      <c r="H355" s="26" t="s">
        <v>70</v>
      </c>
      <c r="I355" s="12"/>
      <c r="J355" s="12"/>
      <c r="K355" s="242"/>
      <c r="L355" s="245"/>
      <c r="M355" s="25"/>
      <c r="N355" s="31"/>
      <c r="O355" s="32"/>
      <c r="P355" s="32"/>
      <c r="Q355" s="33"/>
    </row>
    <row r="356" spans="1:17" ht="33.75" customHeight="1">
      <c r="A356" s="16">
        <v>289</v>
      </c>
      <c r="B356" s="310" t="b">
        <v>0</v>
      </c>
      <c r="C356" s="12"/>
      <c r="D356" s="18"/>
      <c r="E356" s="14" t="s">
        <v>558</v>
      </c>
      <c r="F356" s="26"/>
      <c r="G356" s="38">
        <v>1</v>
      </c>
      <c r="H356" s="26" t="s">
        <v>70</v>
      </c>
      <c r="I356" s="12"/>
      <c r="J356" s="12"/>
      <c r="K356" s="242"/>
      <c r="L356" s="245"/>
      <c r="M356" s="25"/>
      <c r="N356" s="31"/>
      <c r="O356" s="32"/>
      <c r="P356" s="32"/>
      <c r="Q356" s="33"/>
    </row>
    <row r="357" spans="1:17" ht="33.75" customHeight="1">
      <c r="A357" s="16">
        <v>290</v>
      </c>
      <c r="B357" s="310" t="b">
        <v>0</v>
      </c>
      <c r="C357" s="12"/>
      <c r="D357" s="18"/>
      <c r="E357" s="14" t="s">
        <v>559</v>
      </c>
      <c r="F357" s="26"/>
      <c r="G357" s="38">
        <v>1</v>
      </c>
      <c r="H357" s="26" t="s">
        <v>70</v>
      </c>
      <c r="I357" s="12"/>
      <c r="J357" s="12"/>
      <c r="K357" s="242"/>
      <c r="L357" s="245"/>
      <c r="M357" s="25"/>
      <c r="N357" s="31"/>
      <c r="O357" s="32"/>
      <c r="P357" s="32"/>
      <c r="Q357" s="33"/>
    </row>
    <row r="358" spans="1:17" ht="33.75" customHeight="1">
      <c r="A358" s="16">
        <v>291</v>
      </c>
      <c r="B358" s="310" t="b">
        <v>0</v>
      </c>
      <c r="C358" s="12"/>
      <c r="D358" s="18" t="s">
        <v>481</v>
      </c>
      <c r="E358" s="14" t="s">
        <v>193</v>
      </c>
      <c r="F358" s="26"/>
      <c r="G358" s="38">
        <v>10</v>
      </c>
      <c r="H358" s="26" t="s">
        <v>72</v>
      </c>
      <c r="I358" s="12"/>
      <c r="J358" s="12"/>
      <c r="K358" s="242"/>
      <c r="L358" s="247" t="s">
        <v>483</v>
      </c>
      <c r="M358" s="25"/>
      <c r="N358" s="28" t="s">
        <v>382</v>
      </c>
      <c r="O358" s="32"/>
      <c r="P358" s="32"/>
      <c r="Q358" s="33"/>
    </row>
    <row r="359" spans="1:17" ht="33.75" customHeight="1">
      <c r="A359" s="16">
        <v>292</v>
      </c>
      <c r="B359" s="310" t="b">
        <v>0</v>
      </c>
      <c r="C359" s="12"/>
      <c r="D359" s="18" t="s">
        <v>482</v>
      </c>
      <c r="E359" s="14" t="s">
        <v>278</v>
      </c>
      <c r="F359" s="26"/>
      <c r="G359" s="38">
        <v>10</v>
      </c>
      <c r="H359" s="26" t="s">
        <v>72</v>
      </c>
      <c r="I359" s="12"/>
      <c r="J359" s="12"/>
      <c r="K359" s="242"/>
      <c r="L359" s="245"/>
      <c r="M359" s="25"/>
      <c r="N359" s="28" t="s">
        <v>382</v>
      </c>
      <c r="O359" s="32"/>
      <c r="P359" s="32"/>
      <c r="Q359" s="33"/>
    </row>
    <row r="360" spans="1:17" ht="33.75" customHeight="1">
      <c r="A360" s="16">
        <v>293</v>
      </c>
      <c r="B360" s="310" t="b">
        <v>0</v>
      </c>
      <c r="C360" s="12"/>
      <c r="D360" s="18"/>
      <c r="E360" s="14" t="s">
        <v>263</v>
      </c>
      <c r="F360" s="26"/>
      <c r="G360" s="38"/>
      <c r="H360" s="26" t="s">
        <v>70</v>
      </c>
      <c r="I360" s="12"/>
      <c r="J360" s="12"/>
      <c r="K360" s="242"/>
      <c r="L360" s="245"/>
      <c r="M360" s="25"/>
      <c r="N360" s="31"/>
      <c r="O360" s="32"/>
      <c r="P360" s="32"/>
      <c r="Q360" s="33"/>
    </row>
    <row r="361" spans="1:17" ht="33.75" customHeight="1">
      <c r="A361" s="16">
        <v>294</v>
      </c>
      <c r="B361" s="310" t="b">
        <v>0</v>
      </c>
      <c r="C361" s="12"/>
      <c r="D361" s="18"/>
      <c r="E361" s="14" t="s">
        <v>264</v>
      </c>
      <c r="F361" s="26"/>
      <c r="G361" s="38"/>
      <c r="H361" s="26" t="s">
        <v>70</v>
      </c>
      <c r="I361" s="12"/>
      <c r="J361" s="12"/>
      <c r="K361" s="242"/>
      <c r="L361" s="245"/>
      <c r="M361" s="25"/>
      <c r="N361" s="31" t="s">
        <v>62</v>
      </c>
      <c r="O361" s="32"/>
      <c r="P361" s="32"/>
      <c r="Q361" s="33"/>
    </row>
    <row r="362" spans="1:17" ht="33.75" customHeight="1">
      <c r="A362" s="16">
        <v>295</v>
      </c>
      <c r="B362" s="310" t="b">
        <v>0</v>
      </c>
      <c r="C362" s="12" t="s">
        <v>37</v>
      </c>
      <c r="D362" s="18"/>
      <c r="E362" s="14" t="s">
        <v>265</v>
      </c>
      <c r="F362" s="26"/>
      <c r="G362" s="38"/>
      <c r="H362" s="26" t="s">
        <v>70</v>
      </c>
      <c r="I362" s="12"/>
      <c r="J362" s="12"/>
      <c r="K362" s="242"/>
      <c r="L362" s="245"/>
      <c r="M362" s="25"/>
      <c r="N362" s="31" t="s">
        <v>62</v>
      </c>
      <c r="O362" s="32"/>
      <c r="P362" s="32"/>
      <c r="Q362" s="33"/>
    </row>
    <row r="363" spans="1:17" ht="33.75" customHeight="1">
      <c r="A363" s="16">
        <v>296</v>
      </c>
      <c r="B363" s="310" t="b">
        <v>0</v>
      </c>
      <c r="C363" s="12"/>
      <c r="D363" s="18"/>
      <c r="E363" s="14" t="s">
        <v>266</v>
      </c>
      <c r="F363" s="26"/>
      <c r="G363" s="38"/>
      <c r="H363" s="26" t="s">
        <v>70</v>
      </c>
      <c r="I363" s="12"/>
      <c r="J363" s="12"/>
      <c r="K363" s="242"/>
      <c r="L363" s="245"/>
      <c r="M363" s="25"/>
      <c r="N363" s="31" t="s">
        <v>62</v>
      </c>
      <c r="O363" s="32"/>
      <c r="P363" s="32"/>
      <c r="Q363" s="33"/>
    </row>
    <row r="364" spans="1:17" ht="33.75" customHeight="1">
      <c r="A364" s="16">
        <v>297</v>
      </c>
      <c r="B364" s="310" t="b">
        <v>0</v>
      </c>
      <c r="C364" s="12"/>
      <c r="D364" s="18" t="s">
        <v>515</v>
      </c>
      <c r="E364" s="14" t="s">
        <v>211</v>
      </c>
      <c r="F364" s="26">
        <v>23</v>
      </c>
      <c r="G364" s="38">
        <v>1</v>
      </c>
      <c r="H364" s="26" t="s">
        <v>70</v>
      </c>
      <c r="I364" s="12"/>
      <c r="J364" s="12"/>
      <c r="K364" s="242"/>
      <c r="L364" s="245"/>
      <c r="M364" s="25"/>
      <c r="N364" s="31" t="s">
        <v>62</v>
      </c>
      <c r="O364" s="32"/>
      <c r="P364" s="32"/>
      <c r="Q364" s="33"/>
    </row>
    <row r="365" spans="1:17" ht="33.75" customHeight="1">
      <c r="A365" s="16">
        <v>298</v>
      </c>
      <c r="B365" s="310" t="b">
        <v>0</v>
      </c>
      <c r="C365" s="12" t="s">
        <v>38</v>
      </c>
      <c r="D365" s="18"/>
      <c r="E365" s="14" t="s">
        <v>346</v>
      </c>
      <c r="F365" s="26"/>
      <c r="G365" s="38"/>
      <c r="H365" s="26" t="s">
        <v>70</v>
      </c>
      <c r="I365" s="12"/>
      <c r="J365" s="12"/>
      <c r="K365" s="242"/>
      <c r="L365" s="245"/>
      <c r="M365" s="25"/>
      <c r="N365" s="31" t="s">
        <v>62</v>
      </c>
      <c r="O365" s="32"/>
      <c r="P365" s="32"/>
      <c r="Q365" s="33"/>
    </row>
    <row r="366" spans="1:17" ht="33.75" customHeight="1">
      <c r="A366" s="16">
        <v>299</v>
      </c>
      <c r="B366" s="310" t="b">
        <v>0</v>
      </c>
      <c r="C366" s="12" t="s">
        <v>41</v>
      </c>
      <c r="D366" s="18"/>
      <c r="E366" s="14" t="s">
        <v>267</v>
      </c>
      <c r="F366" s="26"/>
      <c r="G366" s="38"/>
      <c r="H366" s="26" t="s">
        <v>70</v>
      </c>
      <c r="I366" s="12"/>
      <c r="J366" s="12"/>
      <c r="K366" s="242"/>
      <c r="L366" s="245"/>
      <c r="M366" s="25"/>
      <c r="N366" s="31" t="s">
        <v>62</v>
      </c>
      <c r="O366" s="32"/>
      <c r="P366" s="32"/>
      <c r="Q366" s="33"/>
    </row>
    <row r="367" spans="1:17" ht="33.75" customHeight="1">
      <c r="A367" s="16">
        <v>300</v>
      </c>
      <c r="B367" s="310" t="b">
        <v>0</v>
      </c>
      <c r="C367" s="12"/>
      <c r="D367" s="18"/>
      <c r="E367" s="14" t="s">
        <v>294</v>
      </c>
      <c r="F367" s="26"/>
      <c r="G367" s="38"/>
      <c r="H367" s="26" t="s">
        <v>70</v>
      </c>
      <c r="I367" s="12"/>
      <c r="J367" s="12"/>
      <c r="K367" s="242"/>
      <c r="L367" s="245"/>
      <c r="M367" s="25"/>
      <c r="N367" s="31" t="s">
        <v>62</v>
      </c>
      <c r="O367" s="32"/>
      <c r="P367" s="32"/>
      <c r="Q367" s="33"/>
    </row>
    <row r="368" spans="1:17" ht="33.75" customHeight="1">
      <c r="A368" s="16">
        <v>301</v>
      </c>
      <c r="B368" s="310" t="b">
        <v>0</v>
      </c>
      <c r="C368" s="12"/>
      <c r="D368" s="18"/>
      <c r="E368" s="14" t="s">
        <v>268</v>
      </c>
      <c r="F368" s="26"/>
      <c r="G368" s="38"/>
      <c r="H368" s="26" t="s">
        <v>70</v>
      </c>
      <c r="I368" s="12"/>
      <c r="J368" s="12"/>
      <c r="K368" s="242"/>
      <c r="L368" s="245"/>
      <c r="M368" s="25"/>
      <c r="N368" s="31" t="s">
        <v>62</v>
      </c>
      <c r="O368" s="32"/>
      <c r="P368" s="32"/>
      <c r="Q368" s="33"/>
    </row>
    <row r="369" spans="1:17" ht="33.75" customHeight="1">
      <c r="A369" s="16">
        <v>302</v>
      </c>
      <c r="B369" s="310" t="b">
        <v>0</v>
      </c>
      <c r="C369" s="12" t="s">
        <v>44</v>
      </c>
      <c r="D369" s="18"/>
      <c r="E369" s="14" t="s">
        <v>272</v>
      </c>
      <c r="F369" s="26"/>
      <c r="G369" s="38"/>
      <c r="H369" s="26" t="s">
        <v>70</v>
      </c>
      <c r="I369" s="12"/>
      <c r="J369" s="12"/>
      <c r="K369" s="242"/>
      <c r="L369" s="245"/>
      <c r="M369" s="25"/>
      <c r="N369" s="31" t="s">
        <v>62</v>
      </c>
      <c r="O369" s="32"/>
      <c r="P369" s="32"/>
      <c r="Q369" s="33"/>
    </row>
    <row r="370" spans="1:17" ht="33.75" customHeight="1">
      <c r="A370" s="16">
        <v>303</v>
      </c>
      <c r="B370" s="310" t="b">
        <v>0</v>
      </c>
      <c r="C370" s="12" t="s">
        <v>45</v>
      </c>
      <c r="D370" s="18"/>
      <c r="E370" s="14" t="s">
        <v>273</v>
      </c>
      <c r="F370" s="26"/>
      <c r="G370" s="38"/>
      <c r="H370" s="26" t="s">
        <v>70</v>
      </c>
      <c r="I370" s="12"/>
      <c r="J370" s="12"/>
      <c r="K370" s="242"/>
      <c r="L370" s="245"/>
      <c r="M370" s="25"/>
      <c r="N370" s="31" t="s">
        <v>64</v>
      </c>
      <c r="O370" s="32"/>
      <c r="P370" s="32"/>
      <c r="Q370" s="33"/>
    </row>
    <row r="371" spans="1:17" ht="33.75" customHeight="1">
      <c r="A371" s="16">
        <v>304</v>
      </c>
      <c r="B371" s="310" t="b">
        <v>0</v>
      </c>
      <c r="C371" s="12" t="s">
        <v>45</v>
      </c>
      <c r="D371" s="18"/>
      <c r="E371" s="14" t="s">
        <v>274</v>
      </c>
      <c r="F371" s="26"/>
      <c r="G371" s="38"/>
      <c r="H371" s="26" t="s">
        <v>70</v>
      </c>
      <c r="I371" s="12"/>
      <c r="J371" s="12"/>
      <c r="K371" s="242"/>
      <c r="L371" s="245"/>
      <c r="M371" s="25"/>
      <c r="N371" s="31" t="s">
        <v>65</v>
      </c>
      <c r="O371" s="32"/>
      <c r="P371" s="32"/>
      <c r="Q371" s="33"/>
    </row>
    <row r="372" spans="1:17" ht="33.75" customHeight="1">
      <c r="A372" s="16">
        <v>305</v>
      </c>
      <c r="B372" s="310" t="b">
        <v>0</v>
      </c>
      <c r="C372" s="12" t="s">
        <v>46</v>
      </c>
      <c r="D372" s="18"/>
      <c r="E372" s="14" t="s">
        <v>279</v>
      </c>
      <c r="F372" s="26"/>
      <c r="G372" s="38"/>
      <c r="H372" s="26" t="s">
        <v>70</v>
      </c>
      <c r="I372" s="12"/>
      <c r="J372" s="12"/>
      <c r="K372" s="242"/>
      <c r="L372" s="245"/>
      <c r="M372" s="25"/>
      <c r="N372" s="31"/>
      <c r="O372" s="32"/>
      <c r="P372" s="32"/>
      <c r="Q372" s="33"/>
    </row>
    <row r="373" spans="1:17" ht="33.75" customHeight="1">
      <c r="A373" s="16">
        <v>306</v>
      </c>
      <c r="B373" s="310" t="b">
        <v>0</v>
      </c>
      <c r="C373" s="12" t="s">
        <v>47</v>
      </c>
      <c r="D373" s="18"/>
      <c r="E373" s="14" t="s">
        <v>280</v>
      </c>
      <c r="F373" s="26"/>
      <c r="G373" s="38"/>
      <c r="H373" s="26" t="s">
        <v>70</v>
      </c>
      <c r="I373" s="12"/>
      <c r="J373" s="12"/>
      <c r="K373" s="242"/>
      <c r="L373" s="245"/>
      <c r="M373" s="25"/>
      <c r="N373" s="31"/>
      <c r="O373" s="32"/>
      <c r="P373" s="32"/>
      <c r="Q373" s="33"/>
    </row>
    <row r="374" spans="1:17" ht="33.75" customHeight="1">
      <c r="A374" s="16">
        <v>307</v>
      </c>
      <c r="B374" s="310" t="b">
        <v>0</v>
      </c>
      <c r="C374" s="12"/>
      <c r="D374" s="18"/>
      <c r="E374" s="56" t="s">
        <v>150</v>
      </c>
      <c r="F374" s="26"/>
      <c r="G374" s="38"/>
      <c r="H374" s="26" t="s">
        <v>70</v>
      </c>
      <c r="I374" s="12"/>
      <c r="J374" s="12"/>
      <c r="K374" s="242"/>
      <c r="L374" s="245"/>
      <c r="M374" s="25"/>
      <c r="N374" s="28"/>
      <c r="O374" s="32"/>
      <c r="P374" s="32"/>
      <c r="Q374" s="33"/>
    </row>
    <row r="375" spans="1:17" ht="33.75" customHeight="1">
      <c r="A375" s="16">
        <v>308</v>
      </c>
      <c r="B375" s="310" t="b">
        <v>0</v>
      </c>
      <c r="C375" s="12"/>
      <c r="D375" s="18"/>
      <c r="E375" s="14" t="s">
        <v>178</v>
      </c>
      <c r="F375" s="26"/>
      <c r="G375" s="38"/>
      <c r="H375" s="26" t="s">
        <v>70</v>
      </c>
      <c r="I375" s="12"/>
      <c r="J375" s="12"/>
      <c r="K375" s="242"/>
      <c r="L375" s="245"/>
      <c r="M375" s="25"/>
      <c r="N375" s="31"/>
      <c r="O375" s="32"/>
      <c r="P375" s="32"/>
      <c r="Q375" s="33"/>
    </row>
    <row r="376" spans="1:17" ht="33.75" customHeight="1">
      <c r="A376" s="16">
        <v>309</v>
      </c>
      <c r="B376" s="310" t="b">
        <v>0</v>
      </c>
      <c r="C376" s="12"/>
      <c r="D376" s="18"/>
      <c r="E376" s="14" t="s">
        <v>179</v>
      </c>
      <c r="F376" s="26"/>
      <c r="G376" s="38"/>
      <c r="H376" s="26" t="s">
        <v>70</v>
      </c>
      <c r="I376" s="12"/>
      <c r="J376" s="12"/>
      <c r="K376" s="242"/>
      <c r="L376" s="245"/>
      <c r="M376" s="25"/>
      <c r="N376" s="31"/>
      <c r="O376" s="32"/>
      <c r="P376" s="32"/>
      <c r="Q376" s="33"/>
    </row>
    <row r="377" spans="1:17" ht="33.75" customHeight="1">
      <c r="A377" s="16">
        <v>310</v>
      </c>
      <c r="B377" s="310" t="b">
        <v>0</v>
      </c>
      <c r="C377" s="12"/>
      <c r="D377" s="18"/>
      <c r="E377" s="14" t="s">
        <v>281</v>
      </c>
      <c r="F377" s="26"/>
      <c r="G377" s="38"/>
      <c r="H377" s="26" t="s">
        <v>70</v>
      </c>
      <c r="I377" s="12"/>
      <c r="J377" s="12"/>
      <c r="K377" s="242"/>
      <c r="L377" s="245"/>
      <c r="M377" s="25"/>
      <c r="N377" s="31"/>
      <c r="O377" s="32"/>
      <c r="P377" s="32"/>
      <c r="Q377" s="33"/>
    </row>
    <row r="378" spans="1:17" ht="33.75" customHeight="1">
      <c r="A378" s="16">
        <v>311</v>
      </c>
      <c r="B378" s="310" t="b">
        <v>0</v>
      </c>
      <c r="C378" s="12"/>
      <c r="D378" s="18"/>
      <c r="E378" s="14" t="s">
        <v>180</v>
      </c>
      <c r="F378" s="26"/>
      <c r="G378" s="38"/>
      <c r="H378" s="26" t="s">
        <v>70</v>
      </c>
      <c r="I378" s="12"/>
      <c r="J378" s="12"/>
      <c r="K378" s="242"/>
      <c r="L378" s="245"/>
      <c r="M378" s="25"/>
      <c r="N378" s="31"/>
      <c r="O378" s="32"/>
      <c r="P378" s="32"/>
      <c r="Q378" s="33"/>
    </row>
    <row r="379" spans="1:17" ht="33.75" customHeight="1">
      <c r="A379" s="16">
        <v>312</v>
      </c>
      <c r="B379" s="310" t="b">
        <v>0</v>
      </c>
      <c r="C379" s="12"/>
      <c r="D379" s="18"/>
      <c r="E379" s="14" t="s">
        <v>198</v>
      </c>
      <c r="F379" s="26"/>
      <c r="G379" s="38"/>
      <c r="H379" s="26" t="s">
        <v>70</v>
      </c>
      <c r="I379" s="12"/>
      <c r="J379" s="12"/>
      <c r="K379" s="242"/>
      <c r="L379" s="245"/>
      <c r="M379" s="25"/>
      <c r="N379" s="31"/>
      <c r="O379" s="32"/>
      <c r="P379" s="32"/>
      <c r="Q379" s="33"/>
    </row>
    <row r="380" spans="1:17" ht="33.75" customHeight="1">
      <c r="A380" s="16">
        <v>313</v>
      </c>
      <c r="B380" s="310" t="b">
        <v>0</v>
      </c>
      <c r="C380" s="12"/>
      <c r="D380" s="18"/>
      <c r="E380" s="14" t="s">
        <v>282</v>
      </c>
      <c r="F380" s="26"/>
      <c r="G380" s="38"/>
      <c r="H380" s="26" t="s">
        <v>70</v>
      </c>
      <c r="I380" s="12"/>
      <c r="J380" s="12"/>
      <c r="K380" s="242"/>
      <c r="L380" s="245"/>
      <c r="M380" s="25"/>
      <c r="N380" s="31"/>
      <c r="O380" s="32"/>
      <c r="P380" s="32"/>
      <c r="Q380" s="33"/>
    </row>
    <row r="381" spans="1:17" ht="33.75" customHeight="1">
      <c r="A381" s="16">
        <v>314</v>
      </c>
      <c r="B381" s="310" t="b">
        <v>0</v>
      </c>
      <c r="C381" s="12"/>
      <c r="D381" s="18"/>
      <c r="E381" s="14" t="s">
        <v>283</v>
      </c>
      <c r="F381" s="26"/>
      <c r="G381" s="38"/>
      <c r="H381" s="26" t="s">
        <v>70</v>
      </c>
      <c r="I381" s="12"/>
      <c r="J381" s="12"/>
      <c r="K381" s="242"/>
      <c r="L381" s="245"/>
      <c r="M381" s="25"/>
      <c r="N381" s="31"/>
      <c r="O381" s="32"/>
      <c r="P381" s="32"/>
      <c r="Q381" s="33"/>
    </row>
    <row r="382" spans="1:17" ht="33.75" customHeight="1">
      <c r="A382" s="16">
        <v>315</v>
      </c>
      <c r="B382" s="310" t="b">
        <v>0</v>
      </c>
      <c r="C382" s="12"/>
      <c r="D382" s="18"/>
      <c r="E382" s="14" t="s">
        <v>182</v>
      </c>
      <c r="F382" s="26"/>
      <c r="G382" s="38"/>
      <c r="H382" s="26" t="s">
        <v>70</v>
      </c>
      <c r="I382" s="12"/>
      <c r="J382" s="12"/>
      <c r="K382" s="242"/>
      <c r="L382" s="245"/>
      <c r="M382" s="25"/>
      <c r="N382" s="31"/>
      <c r="O382" s="32"/>
      <c r="P382" s="32"/>
      <c r="Q382" s="33"/>
    </row>
    <row r="383" spans="1:17" ht="33.75" customHeight="1">
      <c r="A383" s="16">
        <v>316</v>
      </c>
      <c r="B383" s="310" t="b">
        <v>0</v>
      </c>
      <c r="C383" s="12"/>
      <c r="D383" s="18"/>
      <c r="E383" s="14" t="s">
        <v>183</v>
      </c>
      <c r="F383" s="26"/>
      <c r="G383" s="38"/>
      <c r="H383" s="26" t="s">
        <v>70</v>
      </c>
      <c r="I383" s="12"/>
      <c r="J383" s="12"/>
      <c r="K383" s="242"/>
      <c r="L383" s="245"/>
      <c r="M383" s="25"/>
      <c r="N383" s="31"/>
      <c r="O383" s="32"/>
      <c r="P383" s="32"/>
      <c r="Q383" s="33"/>
    </row>
    <row r="384" spans="1:17" ht="33.75" customHeight="1">
      <c r="A384" s="16">
        <v>317</v>
      </c>
      <c r="B384" s="310" t="b">
        <v>0</v>
      </c>
      <c r="C384" s="12"/>
      <c r="D384" s="18"/>
      <c r="E384" s="14" t="s">
        <v>184</v>
      </c>
      <c r="F384" s="26"/>
      <c r="G384" s="38"/>
      <c r="H384" s="26" t="s">
        <v>70</v>
      </c>
      <c r="I384" s="12"/>
      <c r="J384" s="12"/>
      <c r="K384" s="242"/>
      <c r="L384" s="245"/>
      <c r="M384" s="25"/>
      <c r="N384" s="31"/>
      <c r="O384" s="32"/>
      <c r="P384" s="32"/>
      <c r="Q384" s="33"/>
    </row>
    <row r="385" spans="1:17" ht="33.75" customHeight="1">
      <c r="A385" s="16">
        <v>318</v>
      </c>
      <c r="B385" s="310" t="b">
        <v>0</v>
      </c>
      <c r="C385" s="12"/>
      <c r="D385" s="18"/>
      <c r="E385" s="14" t="s">
        <v>185</v>
      </c>
      <c r="F385" s="26"/>
      <c r="G385" s="38"/>
      <c r="H385" s="26" t="s">
        <v>70</v>
      </c>
      <c r="I385" s="12"/>
      <c r="J385" s="12"/>
      <c r="K385" s="242"/>
      <c r="L385" s="245"/>
      <c r="M385" s="25"/>
      <c r="N385" s="31"/>
      <c r="O385" s="32"/>
      <c r="P385" s="32"/>
      <c r="Q385" s="33"/>
    </row>
    <row r="386" spans="1:17" ht="33.75" customHeight="1">
      <c r="A386" s="16">
        <v>319</v>
      </c>
      <c r="B386" s="310" t="b">
        <v>0</v>
      </c>
      <c r="C386" s="12"/>
      <c r="D386" s="18"/>
      <c r="E386" s="14" t="s">
        <v>251</v>
      </c>
      <c r="F386" s="26"/>
      <c r="G386" s="38"/>
      <c r="H386" s="26" t="s">
        <v>70</v>
      </c>
      <c r="I386" s="12"/>
      <c r="J386" s="12"/>
      <c r="K386" s="242"/>
      <c r="L386" s="245"/>
      <c r="M386" s="25"/>
      <c r="N386" s="31"/>
      <c r="O386" s="32"/>
      <c r="P386" s="32"/>
      <c r="Q386" s="33"/>
    </row>
    <row r="387" spans="1:17" ht="33.75" customHeight="1">
      <c r="A387" s="16">
        <v>320</v>
      </c>
      <c r="B387" s="310" t="b">
        <v>0</v>
      </c>
      <c r="C387" s="12"/>
      <c r="D387" s="18"/>
      <c r="E387" s="14" t="s">
        <v>257</v>
      </c>
      <c r="F387" s="26"/>
      <c r="G387" s="38"/>
      <c r="H387" s="26" t="s">
        <v>70</v>
      </c>
      <c r="I387" s="12"/>
      <c r="J387" s="12"/>
      <c r="K387" s="242"/>
      <c r="L387" s="245"/>
      <c r="M387" s="25"/>
      <c r="N387" s="31"/>
      <c r="O387" s="32"/>
      <c r="P387" s="32"/>
      <c r="Q387" s="33"/>
    </row>
    <row r="388" spans="1:17" ht="33.75" customHeight="1">
      <c r="A388" s="16">
        <v>321</v>
      </c>
      <c r="B388" s="310" t="b">
        <v>0</v>
      </c>
      <c r="C388" s="12" t="s">
        <v>52</v>
      </c>
      <c r="D388" s="18"/>
      <c r="E388" s="56" t="s">
        <v>194</v>
      </c>
      <c r="F388" s="26"/>
      <c r="G388" s="38"/>
      <c r="H388" s="26" t="s">
        <v>70</v>
      </c>
      <c r="I388" s="12"/>
      <c r="J388" s="12"/>
      <c r="K388" s="242"/>
      <c r="L388" s="245"/>
      <c r="M388" s="25"/>
      <c r="N388" s="31" t="s">
        <v>63</v>
      </c>
      <c r="O388" s="32"/>
      <c r="P388" s="32"/>
      <c r="Q388" s="33"/>
    </row>
    <row r="389" spans="1:17" ht="33.75" customHeight="1">
      <c r="A389" s="16">
        <v>322</v>
      </c>
      <c r="B389" s="310" t="b">
        <v>0</v>
      </c>
      <c r="C389" s="12"/>
      <c r="D389" s="18"/>
      <c r="E389" s="14" t="s">
        <v>195</v>
      </c>
      <c r="F389" s="26"/>
      <c r="G389" s="38"/>
      <c r="H389" s="26" t="s">
        <v>70</v>
      </c>
      <c r="I389" s="12"/>
      <c r="J389" s="12"/>
      <c r="K389" s="242"/>
      <c r="L389" s="245"/>
      <c r="M389" s="25"/>
      <c r="N389" s="31"/>
      <c r="O389" s="32"/>
      <c r="P389" s="32"/>
      <c r="Q389" s="33"/>
    </row>
    <row r="390" spans="1:17" ht="33.75" customHeight="1">
      <c r="A390" s="16">
        <v>323</v>
      </c>
      <c r="B390" s="310" t="b">
        <v>0</v>
      </c>
      <c r="C390" s="12"/>
      <c r="D390" s="18"/>
      <c r="E390" s="14" t="s">
        <v>178</v>
      </c>
      <c r="F390" s="26"/>
      <c r="G390" s="38"/>
      <c r="H390" s="26" t="s">
        <v>70</v>
      </c>
      <c r="I390" s="12"/>
      <c r="J390" s="12"/>
      <c r="K390" s="242"/>
      <c r="L390" s="245"/>
      <c r="M390" s="25"/>
      <c r="N390" s="31"/>
      <c r="O390" s="32"/>
      <c r="P390" s="32"/>
      <c r="Q390" s="33"/>
    </row>
    <row r="391" spans="1:17" ht="33.75" customHeight="1">
      <c r="A391" s="16">
        <v>324</v>
      </c>
      <c r="B391" s="310" t="b">
        <v>0</v>
      </c>
      <c r="C391" s="12"/>
      <c r="D391" s="18"/>
      <c r="E391" s="14" t="s">
        <v>179</v>
      </c>
      <c r="F391" s="26"/>
      <c r="G391" s="38"/>
      <c r="H391" s="26" t="s">
        <v>70</v>
      </c>
      <c r="I391" s="12"/>
      <c r="J391" s="12"/>
      <c r="K391" s="242"/>
      <c r="L391" s="245"/>
      <c r="M391" s="25"/>
      <c r="N391" s="31"/>
      <c r="O391" s="32"/>
      <c r="P391" s="32"/>
      <c r="Q391" s="33"/>
    </row>
    <row r="392" spans="1:17" ht="33.75" customHeight="1">
      <c r="A392" s="16">
        <v>325</v>
      </c>
      <c r="B392" s="310" t="b">
        <v>0</v>
      </c>
      <c r="C392" s="12"/>
      <c r="D392" s="18"/>
      <c r="E392" s="14" t="s">
        <v>196</v>
      </c>
      <c r="F392" s="26"/>
      <c r="G392" s="38"/>
      <c r="H392" s="26" t="s">
        <v>70</v>
      </c>
      <c r="I392" s="12"/>
      <c r="J392" s="12"/>
      <c r="K392" s="242"/>
      <c r="L392" s="245"/>
      <c r="M392" s="25"/>
      <c r="N392" s="31"/>
      <c r="O392" s="32"/>
      <c r="P392" s="32"/>
      <c r="Q392" s="33"/>
    </row>
    <row r="393" spans="1:17" ht="33.75" customHeight="1">
      <c r="A393" s="16">
        <v>326</v>
      </c>
      <c r="B393" s="310" t="b">
        <v>0</v>
      </c>
      <c r="C393" s="12"/>
      <c r="D393" s="18"/>
      <c r="E393" s="14" t="s">
        <v>197</v>
      </c>
      <c r="F393" s="26"/>
      <c r="G393" s="38"/>
      <c r="H393" s="26" t="s">
        <v>70</v>
      </c>
      <c r="I393" s="12"/>
      <c r="J393" s="12"/>
      <c r="K393" s="242"/>
      <c r="L393" s="245"/>
      <c r="M393" s="25"/>
      <c r="N393" s="31"/>
      <c r="O393" s="32"/>
      <c r="P393" s="32"/>
      <c r="Q393" s="33"/>
    </row>
    <row r="394" spans="1:17" ht="33.75" customHeight="1">
      <c r="A394" s="16">
        <v>327</v>
      </c>
      <c r="B394" s="310" t="b">
        <v>0</v>
      </c>
      <c r="C394" s="12"/>
      <c r="D394" s="18"/>
      <c r="E394" s="14" t="s">
        <v>180</v>
      </c>
      <c r="F394" s="26"/>
      <c r="G394" s="38"/>
      <c r="H394" s="26" t="s">
        <v>70</v>
      </c>
      <c r="I394" s="12"/>
      <c r="J394" s="12"/>
      <c r="K394" s="242"/>
      <c r="L394" s="245"/>
      <c r="M394" s="25"/>
      <c r="N394" s="31"/>
      <c r="O394" s="32"/>
      <c r="P394" s="32"/>
      <c r="Q394" s="33"/>
    </row>
    <row r="395" spans="1:17" ht="33.75" customHeight="1">
      <c r="A395" s="16">
        <v>328</v>
      </c>
      <c r="B395" s="310" t="b">
        <v>0</v>
      </c>
      <c r="C395" s="12"/>
      <c r="D395" s="18"/>
      <c r="E395" s="14" t="s">
        <v>198</v>
      </c>
      <c r="F395" s="26"/>
      <c r="G395" s="38"/>
      <c r="H395" s="26" t="s">
        <v>70</v>
      </c>
      <c r="I395" s="12"/>
      <c r="J395" s="12"/>
      <c r="K395" s="242"/>
      <c r="L395" s="245"/>
      <c r="M395" s="25"/>
      <c r="N395" s="31"/>
      <c r="O395" s="32"/>
      <c r="P395" s="32"/>
      <c r="Q395" s="33"/>
    </row>
    <row r="396" spans="1:17" ht="33.75" customHeight="1">
      <c r="A396" s="16">
        <v>329</v>
      </c>
      <c r="B396" s="310" t="b">
        <v>0</v>
      </c>
      <c r="C396" s="12"/>
      <c r="D396" s="18"/>
      <c r="E396" s="14" t="s">
        <v>181</v>
      </c>
      <c r="F396" s="26"/>
      <c r="G396" s="38"/>
      <c r="H396" s="26" t="s">
        <v>70</v>
      </c>
      <c r="I396" s="12"/>
      <c r="J396" s="12"/>
      <c r="K396" s="242"/>
      <c r="L396" s="245"/>
      <c r="M396" s="25"/>
      <c r="N396" s="31"/>
      <c r="O396" s="32"/>
      <c r="P396" s="32"/>
      <c r="Q396" s="33"/>
    </row>
    <row r="397" spans="1:17" ht="33.75" customHeight="1">
      <c r="A397" s="16">
        <v>330</v>
      </c>
      <c r="B397" s="310" t="b">
        <v>0</v>
      </c>
      <c r="C397" s="12"/>
      <c r="D397" s="18"/>
      <c r="E397" s="14" t="s">
        <v>182</v>
      </c>
      <c r="F397" s="26"/>
      <c r="G397" s="38"/>
      <c r="H397" s="26" t="s">
        <v>70</v>
      </c>
      <c r="I397" s="12"/>
      <c r="J397" s="12"/>
      <c r="K397" s="242"/>
      <c r="L397" s="245"/>
      <c r="M397" s="25"/>
      <c r="N397" s="31"/>
      <c r="O397" s="32"/>
      <c r="P397" s="32"/>
      <c r="Q397" s="33"/>
    </row>
    <row r="398" spans="1:17" ht="33.75" customHeight="1">
      <c r="A398" s="16">
        <v>331</v>
      </c>
      <c r="B398" s="310" t="b">
        <v>0</v>
      </c>
      <c r="C398" s="12"/>
      <c r="D398" s="18"/>
      <c r="E398" s="14" t="s">
        <v>183</v>
      </c>
      <c r="F398" s="26"/>
      <c r="G398" s="38"/>
      <c r="H398" s="26" t="s">
        <v>70</v>
      </c>
      <c r="I398" s="12"/>
      <c r="J398" s="12"/>
      <c r="K398" s="242"/>
      <c r="L398" s="245"/>
      <c r="M398" s="25"/>
      <c r="N398" s="31"/>
      <c r="O398" s="32"/>
      <c r="P398" s="32"/>
      <c r="Q398" s="33"/>
    </row>
    <row r="399" spans="1:17" ht="33.75" customHeight="1">
      <c r="A399" s="16">
        <v>332</v>
      </c>
      <c r="B399" s="310" t="b">
        <v>0</v>
      </c>
      <c r="C399" s="12"/>
      <c r="D399" s="18"/>
      <c r="E399" s="14" t="s">
        <v>184</v>
      </c>
      <c r="F399" s="26"/>
      <c r="G399" s="38"/>
      <c r="H399" s="26" t="s">
        <v>70</v>
      </c>
      <c r="I399" s="12"/>
      <c r="J399" s="12"/>
      <c r="K399" s="242"/>
      <c r="L399" s="245"/>
      <c r="M399" s="25"/>
      <c r="N399" s="31"/>
      <c r="O399" s="32"/>
      <c r="P399" s="32"/>
      <c r="Q399" s="33"/>
    </row>
    <row r="400" spans="1:17" ht="33.75" customHeight="1">
      <c r="A400" s="16">
        <v>333</v>
      </c>
      <c r="B400" s="310" t="b">
        <v>0</v>
      </c>
      <c r="C400" s="12"/>
      <c r="D400" s="18"/>
      <c r="E400" s="14" t="s">
        <v>185</v>
      </c>
      <c r="F400" s="26"/>
      <c r="G400" s="38"/>
      <c r="H400" s="26" t="s">
        <v>70</v>
      </c>
      <c r="I400" s="12"/>
      <c r="J400" s="12"/>
      <c r="K400" s="242"/>
      <c r="L400" s="245"/>
      <c r="M400" s="25"/>
      <c r="N400" s="31"/>
      <c r="O400" s="32"/>
      <c r="P400" s="32"/>
      <c r="Q400" s="33"/>
    </row>
    <row r="401" spans="1:17" ht="33.75" customHeight="1">
      <c r="A401" s="16">
        <v>334</v>
      </c>
      <c r="B401" s="310" t="b">
        <v>0</v>
      </c>
      <c r="C401" s="12"/>
      <c r="D401" s="18" t="s">
        <v>770</v>
      </c>
      <c r="E401" s="14" t="s">
        <v>769</v>
      </c>
      <c r="F401" s="26">
        <v>26</v>
      </c>
      <c r="G401" s="38">
        <v>3</v>
      </c>
      <c r="H401" s="26" t="s">
        <v>70</v>
      </c>
      <c r="I401" s="12"/>
      <c r="J401" s="12"/>
      <c r="K401" s="242"/>
      <c r="L401" s="245"/>
      <c r="M401" s="25"/>
      <c r="N401" s="31" t="s">
        <v>757</v>
      </c>
      <c r="O401" s="32"/>
      <c r="P401" s="32"/>
      <c r="Q401" s="33"/>
    </row>
    <row r="402" spans="1:17" ht="33.75" customHeight="1">
      <c r="A402" s="16">
        <v>334</v>
      </c>
      <c r="B402" s="310" t="b">
        <v>0</v>
      </c>
      <c r="C402" s="12"/>
      <c r="D402" s="18" t="s">
        <v>771</v>
      </c>
      <c r="E402" s="14" t="s">
        <v>769</v>
      </c>
      <c r="F402" s="26">
        <v>26</v>
      </c>
      <c r="G402" s="38">
        <v>1</v>
      </c>
      <c r="H402" s="26" t="s">
        <v>70</v>
      </c>
      <c r="I402" s="12"/>
      <c r="J402" s="12"/>
      <c r="K402" s="242"/>
      <c r="L402" s="245"/>
      <c r="M402" s="25"/>
      <c r="N402" s="31" t="s">
        <v>763</v>
      </c>
      <c r="O402" s="32"/>
      <c r="P402" s="32"/>
      <c r="Q402" s="33"/>
    </row>
    <row r="403" spans="1:17" ht="33.75" customHeight="1">
      <c r="A403" s="16">
        <v>334</v>
      </c>
      <c r="B403" s="310" t="b">
        <v>0</v>
      </c>
      <c r="C403" s="12"/>
      <c r="D403" s="18" t="s">
        <v>772</v>
      </c>
      <c r="E403" s="14" t="s">
        <v>769</v>
      </c>
      <c r="F403" s="26">
        <v>26</v>
      </c>
      <c r="G403" s="38">
        <v>3</v>
      </c>
      <c r="H403" s="26" t="s">
        <v>70</v>
      </c>
      <c r="I403" s="12"/>
      <c r="J403" s="12"/>
      <c r="K403" s="242"/>
      <c r="L403" s="245"/>
      <c r="M403" s="25"/>
      <c r="N403" s="31" t="s">
        <v>762</v>
      </c>
      <c r="O403" s="32"/>
      <c r="P403" s="32"/>
      <c r="Q403" s="33"/>
    </row>
    <row r="404" spans="1:17" ht="33.75" customHeight="1">
      <c r="A404" s="16">
        <v>334</v>
      </c>
      <c r="B404" s="310" t="b">
        <v>0</v>
      </c>
      <c r="C404" s="12"/>
      <c r="D404" s="18" t="s">
        <v>773</v>
      </c>
      <c r="E404" s="14" t="s">
        <v>769</v>
      </c>
      <c r="F404" s="26">
        <v>26</v>
      </c>
      <c r="G404" s="38">
        <v>1</v>
      </c>
      <c r="H404" s="26" t="s">
        <v>70</v>
      </c>
      <c r="I404" s="12"/>
      <c r="J404" s="12"/>
      <c r="K404" s="242"/>
      <c r="L404" s="245"/>
      <c r="M404" s="25"/>
      <c r="N404" s="31" t="s">
        <v>767</v>
      </c>
      <c r="O404" s="32"/>
      <c r="P404" s="32"/>
      <c r="Q404" s="33"/>
    </row>
    <row r="405" spans="1:17" ht="33.75" customHeight="1">
      <c r="A405" s="16">
        <v>334</v>
      </c>
      <c r="B405" s="310" t="b">
        <v>0</v>
      </c>
      <c r="C405" s="12"/>
      <c r="D405" s="18" t="s">
        <v>774</v>
      </c>
      <c r="E405" s="14" t="s">
        <v>769</v>
      </c>
      <c r="F405" s="26">
        <v>26</v>
      </c>
      <c r="G405" s="38">
        <v>4</v>
      </c>
      <c r="H405" s="26" t="s">
        <v>70</v>
      </c>
      <c r="I405" s="12"/>
      <c r="J405" s="12"/>
      <c r="K405" s="242"/>
      <c r="L405" s="245"/>
      <c r="M405" s="25"/>
      <c r="N405" s="31" t="s">
        <v>768</v>
      </c>
      <c r="O405" s="32"/>
      <c r="P405" s="32"/>
      <c r="Q405" s="33"/>
    </row>
    <row r="406" spans="1:17" ht="33.75" customHeight="1">
      <c r="A406" s="16">
        <v>335</v>
      </c>
      <c r="B406" s="310" t="b">
        <v>0</v>
      </c>
      <c r="C406" s="12"/>
      <c r="D406" s="18"/>
      <c r="E406" s="14" t="s">
        <v>252</v>
      </c>
      <c r="F406" s="26"/>
      <c r="G406" s="38"/>
      <c r="H406" s="26" t="s">
        <v>70</v>
      </c>
      <c r="I406" s="12"/>
      <c r="J406" s="12"/>
      <c r="K406" s="242"/>
      <c r="L406" s="245"/>
      <c r="M406" s="25"/>
      <c r="N406" s="31"/>
      <c r="O406" s="32"/>
      <c r="P406" s="32"/>
      <c r="Q406" s="33"/>
    </row>
    <row r="407" spans="1:17" ht="33.75" customHeight="1">
      <c r="A407" s="16">
        <v>336</v>
      </c>
      <c r="B407" s="310" t="b">
        <v>0</v>
      </c>
      <c r="C407" s="12" t="s">
        <v>31</v>
      </c>
      <c r="D407" s="18"/>
      <c r="E407" s="14" t="s">
        <v>285</v>
      </c>
      <c r="F407" s="26"/>
      <c r="G407" s="38"/>
      <c r="H407" s="26" t="s">
        <v>70</v>
      </c>
      <c r="I407" s="12"/>
      <c r="J407" s="12"/>
      <c r="K407" s="242"/>
      <c r="L407" s="245"/>
      <c r="M407" s="25"/>
      <c r="N407" s="31"/>
      <c r="O407" s="32"/>
      <c r="P407" s="32"/>
      <c r="Q407" s="33"/>
    </row>
    <row r="408" spans="1:17" ht="33.75" customHeight="1">
      <c r="A408" s="16">
        <v>337</v>
      </c>
      <c r="B408" s="310" t="b">
        <v>0</v>
      </c>
      <c r="C408" s="12" t="s">
        <v>54</v>
      </c>
      <c r="D408" s="18"/>
      <c r="E408" s="14" t="s">
        <v>286</v>
      </c>
      <c r="F408" s="26"/>
      <c r="G408" s="38"/>
      <c r="H408" s="26" t="s">
        <v>70</v>
      </c>
      <c r="I408" s="12"/>
      <c r="J408" s="12"/>
      <c r="K408" s="242"/>
      <c r="L408" s="245"/>
      <c r="M408" s="25"/>
      <c r="N408" s="31"/>
      <c r="O408" s="32"/>
      <c r="P408" s="32"/>
      <c r="Q408" s="33"/>
    </row>
    <row r="409" spans="1:17" ht="33.75" customHeight="1">
      <c r="A409" s="16">
        <v>338</v>
      </c>
      <c r="B409" s="310" t="b">
        <v>0</v>
      </c>
      <c r="C409" s="12"/>
      <c r="D409" s="18"/>
      <c r="E409" s="14" t="s">
        <v>290</v>
      </c>
      <c r="F409" s="26"/>
      <c r="G409" s="38"/>
      <c r="H409" s="26" t="s">
        <v>70</v>
      </c>
      <c r="I409" s="12"/>
      <c r="J409" s="12"/>
      <c r="K409" s="242"/>
      <c r="L409" s="245"/>
      <c r="M409" s="25"/>
      <c r="N409" s="31" t="s">
        <v>62</v>
      </c>
      <c r="O409" s="32" t="s">
        <v>62</v>
      </c>
      <c r="P409" s="32" t="s">
        <v>62</v>
      </c>
      <c r="Q409" s="33" t="s">
        <v>62</v>
      </c>
    </row>
    <row r="410" spans="1:17" ht="33.75" customHeight="1">
      <c r="A410" s="16">
        <v>339</v>
      </c>
      <c r="B410" s="310" t="b">
        <v>0</v>
      </c>
      <c r="C410" s="12"/>
      <c r="D410" s="18"/>
      <c r="E410" s="14" t="s">
        <v>202</v>
      </c>
      <c r="F410" s="26"/>
      <c r="G410" s="38"/>
      <c r="H410" s="26" t="s">
        <v>72</v>
      </c>
      <c r="I410" s="12"/>
      <c r="J410" s="12"/>
      <c r="K410" s="242"/>
      <c r="L410" s="245"/>
      <c r="M410" s="25"/>
      <c r="N410" s="28"/>
      <c r="O410" s="32"/>
      <c r="P410" s="32"/>
      <c r="Q410" s="33"/>
    </row>
    <row r="411" spans="1:17" ht="33.75" customHeight="1">
      <c r="A411" s="16">
        <v>340</v>
      </c>
      <c r="B411" s="310" t="b">
        <v>0</v>
      </c>
      <c r="C411" s="12"/>
      <c r="D411" s="18"/>
      <c r="E411" s="14" t="s">
        <v>235</v>
      </c>
      <c r="F411" s="26"/>
      <c r="G411" s="38"/>
      <c r="H411" s="26" t="s">
        <v>72</v>
      </c>
      <c r="I411" s="12"/>
      <c r="J411" s="12"/>
      <c r="K411" s="242"/>
      <c r="L411" s="245"/>
      <c r="M411" s="25"/>
      <c r="N411" s="28" t="s">
        <v>382</v>
      </c>
      <c r="O411" s="32"/>
      <c r="P411" s="32"/>
      <c r="Q411" s="33"/>
    </row>
    <row r="412" spans="1:17" ht="33.75" customHeight="1">
      <c r="A412" s="16">
        <v>341</v>
      </c>
      <c r="B412" s="310" t="b">
        <v>0</v>
      </c>
      <c r="C412" s="12"/>
      <c r="D412" s="18"/>
      <c r="E412" s="14" t="s">
        <v>206</v>
      </c>
      <c r="F412" s="26"/>
      <c r="G412" s="38"/>
      <c r="H412" s="26" t="s">
        <v>72</v>
      </c>
      <c r="I412" s="12"/>
      <c r="J412" s="12"/>
      <c r="K412" s="242"/>
      <c r="L412" s="245"/>
      <c r="M412" s="25"/>
      <c r="N412" s="28" t="s">
        <v>401</v>
      </c>
      <c r="O412" s="32"/>
      <c r="P412" s="32"/>
      <c r="Q412" s="33"/>
    </row>
    <row r="413" spans="1:17" ht="33.75" customHeight="1">
      <c r="A413" s="16">
        <v>342</v>
      </c>
      <c r="B413" s="310" t="b">
        <v>0</v>
      </c>
      <c r="C413" s="12"/>
      <c r="D413" s="18"/>
      <c r="E413" s="14" t="s">
        <v>234</v>
      </c>
      <c r="F413" s="26"/>
      <c r="G413" s="38"/>
      <c r="H413" s="26" t="s">
        <v>72</v>
      </c>
      <c r="I413" s="12"/>
      <c r="J413" s="12"/>
      <c r="K413" s="242"/>
      <c r="L413" s="245"/>
      <c r="M413" s="25"/>
      <c r="N413" s="31"/>
      <c r="O413" s="32"/>
      <c r="P413" s="32"/>
      <c r="Q413" s="33"/>
    </row>
    <row r="414" spans="1:17" ht="33.75" customHeight="1">
      <c r="A414" s="16">
        <v>343</v>
      </c>
      <c r="B414" s="310" t="b">
        <v>0</v>
      </c>
      <c r="C414" s="12"/>
      <c r="D414" s="18"/>
      <c r="E414" s="14" t="s">
        <v>292</v>
      </c>
      <c r="F414" s="26"/>
      <c r="G414" s="38"/>
      <c r="H414" s="26" t="s">
        <v>70</v>
      </c>
      <c r="I414" s="12"/>
      <c r="J414" s="12"/>
      <c r="K414" s="242"/>
      <c r="L414" s="245"/>
      <c r="M414" s="25"/>
      <c r="N414" s="31"/>
      <c r="O414" s="32"/>
      <c r="P414" s="32"/>
      <c r="Q414" s="33"/>
    </row>
    <row r="415" spans="1:17" ht="33.75" customHeight="1">
      <c r="A415" s="16">
        <v>344</v>
      </c>
      <c r="B415" s="310" t="b">
        <v>0</v>
      </c>
      <c r="C415" s="12"/>
      <c r="D415" s="18"/>
      <c r="E415" s="14" t="s">
        <v>293</v>
      </c>
      <c r="F415" s="26"/>
      <c r="G415" s="38"/>
      <c r="H415" s="26" t="s">
        <v>70</v>
      </c>
      <c r="I415" s="12"/>
      <c r="J415" s="12"/>
      <c r="K415" s="242"/>
      <c r="L415" s="245"/>
      <c r="M415" s="25"/>
      <c r="N415" s="31"/>
      <c r="O415" s="32"/>
      <c r="P415" s="32"/>
      <c r="Q415" s="33"/>
    </row>
    <row r="416" spans="1:17" ht="33.75" customHeight="1">
      <c r="A416" s="16">
        <v>345</v>
      </c>
      <c r="B416" s="310" t="b">
        <v>0</v>
      </c>
      <c r="C416" s="12"/>
      <c r="D416" s="18"/>
      <c r="E416" s="14" t="s">
        <v>295</v>
      </c>
      <c r="F416" s="26"/>
      <c r="G416" s="38"/>
      <c r="H416" s="26" t="s">
        <v>70</v>
      </c>
      <c r="I416" s="12"/>
      <c r="J416" s="12"/>
      <c r="K416" s="242"/>
      <c r="L416" s="245"/>
      <c r="M416" s="25"/>
      <c r="N416" s="31"/>
      <c r="O416" s="32"/>
      <c r="P416" s="32"/>
      <c r="Q416" s="33"/>
    </row>
    <row r="417" spans="1:17" ht="33.75" customHeight="1">
      <c r="A417" s="16">
        <v>346</v>
      </c>
      <c r="B417" s="310" t="b">
        <v>0</v>
      </c>
      <c r="C417" s="12"/>
      <c r="D417" s="18"/>
      <c r="E417" s="14" t="s">
        <v>297</v>
      </c>
      <c r="F417" s="26"/>
      <c r="G417" s="38"/>
      <c r="H417" s="26" t="s">
        <v>70</v>
      </c>
      <c r="I417" s="12"/>
      <c r="J417" s="12"/>
      <c r="K417" s="242"/>
      <c r="L417" s="245"/>
      <c r="M417" s="25"/>
      <c r="N417" s="31"/>
      <c r="O417" s="32"/>
      <c r="P417" s="32"/>
      <c r="Q417" s="33"/>
    </row>
    <row r="418" spans="1:17" ht="33.75" customHeight="1">
      <c r="A418" s="16">
        <v>347</v>
      </c>
      <c r="B418" s="310" t="b">
        <v>0</v>
      </c>
      <c r="C418" s="12"/>
      <c r="D418" s="18"/>
      <c r="E418" s="14" t="s">
        <v>298</v>
      </c>
      <c r="F418" s="26"/>
      <c r="G418" s="38"/>
      <c r="H418" s="26" t="s">
        <v>70</v>
      </c>
      <c r="I418" s="12"/>
      <c r="J418" s="12"/>
      <c r="K418" s="242"/>
      <c r="L418" s="245"/>
      <c r="M418" s="25"/>
      <c r="N418" s="31"/>
      <c r="O418" s="32"/>
      <c r="P418" s="32"/>
      <c r="Q418" s="33"/>
    </row>
    <row r="419" spans="1:17" ht="33.75" customHeight="1">
      <c r="A419" s="16">
        <v>348</v>
      </c>
      <c r="B419" s="310" t="b">
        <v>0</v>
      </c>
      <c r="C419" s="12"/>
      <c r="D419" s="18"/>
      <c r="E419" s="14" t="s">
        <v>241</v>
      </c>
      <c r="F419" s="26"/>
      <c r="G419" s="38"/>
      <c r="H419" s="26" t="s">
        <v>70</v>
      </c>
      <c r="I419" s="12"/>
      <c r="J419" s="12"/>
      <c r="K419" s="242"/>
      <c r="L419" s="245"/>
      <c r="M419" s="25"/>
      <c r="N419" s="31" t="s">
        <v>67</v>
      </c>
      <c r="O419" s="32"/>
      <c r="P419" s="32"/>
      <c r="Q419" s="33"/>
    </row>
    <row r="420" spans="1:17" ht="33.75" customHeight="1">
      <c r="A420" s="16">
        <v>349</v>
      </c>
      <c r="B420" s="310" t="b">
        <v>0</v>
      </c>
      <c r="C420" s="12"/>
      <c r="D420" s="18"/>
      <c r="E420" s="14" t="s">
        <v>300</v>
      </c>
      <c r="F420" s="26"/>
      <c r="G420" s="38"/>
      <c r="H420" s="26" t="s">
        <v>70</v>
      </c>
      <c r="I420" s="12"/>
      <c r="J420" s="12"/>
      <c r="K420" s="242"/>
      <c r="L420" s="245"/>
      <c r="M420" s="25"/>
      <c r="N420" s="31"/>
      <c r="O420" s="32"/>
      <c r="P420" s="32"/>
      <c r="Q420" s="33"/>
    </row>
    <row r="421" spans="1:17" ht="33.75" customHeight="1">
      <c r="A421" s="16">
        <v>350</v>
      </c>
      <c r="B421" s="310" t="b">
        <v>0</v>
      </c>
      <c r="C421" s="12"/>
      <c r="D421" s="18"/>
      <c r="E421" s="14" t="s">
        <v>301</v>
      </c>
      <c r="F421" s="26"/>
      <c r="G421" s="38"/>
      <c r="H421" s="26" t="s">
        <v>70</v>
      </c>
      <c r="I421" s="12"/>
      <c r="J421" s="12"/>
      <c r="K421" s="242"/>
      <c r="L421" s="245"/>
      <c r="M421" s="25"/>
      <c r="N421" s="31"/>
      <c r="O421" s="32"/>
      <c r="P421" s="32"/>
      <c r="Q421" s="33"/>
    </row>
    <row r="422" spans="1:17" ht="33.75" customHeight="1">
      <c r="A422" s="16">
        <v>351</v>
      </c>
      <c r="B422" s="310" t="b">
        <v>0</v>
      </c>
      <c r="C422" s="12"/>
      <c r="D422" s="18"/>
      <c r="E422" s="14" t="s">
        <v>303</v>
      </c>
      <c r="F422" s="26"/>
      <c r="G422" s="38"/>
      <c r="H422" s="26" t="s">
        <v>70</v>
      </c>
      <c r="I422" s="12"/>
      <c r="J422" s="12"/>
      <c r="K422" s="242"/>
      <c r="L422" s="245"/>
      <c r="M422" s="25"/>
      <c r="N422" s="31"/>
      <c r="O422" s="32"/>
      <c r="P422" s="32"/>
      <c r="Q422" s="33"/>
    </row>
    <row r="423" spans="1:17" ht="33.75" customHeight="1">
      <c r="A423" s="16">
        <v>352</v>
      </c>
      <c r="B423" s="310" t="b">
        <v>0</v>
      </c>
      <c r="C423" s="12"/>
      <c r="D423" s="18"/>
      <c r="E423" s="14" t="s">
        <v>306</v>
      </c>
      <c r="F423" s="26"/>
      <c r="G423" s="38"/>
      <c r="H423" s="26" t="s">
        <v>70</v>
      </c>
      <c r="I423" s="12"/>
      <c r="J423" s="12"/>
      <c r="K423" s="242"/>
      <c r="L423" s="245"/>
      <c r="M423" s="25"/>
      <c r="N423" s="31"/>
      <c r="O423" s="32"/>
      <c r="P423" s="32"/>
      <c r="Q423" s="33"/>
    </row>
    <row r="424" spans="1:17" ht="33.75" customHeight="1">
      <c r="A424" s="16">
        <v>353</v>
      </c>
      <c r="B424" s="310" t="b">
        <v>0</v>
      </c>
      <c r="C424" s="12"/>
      <c r="D424" s="18"/>
      <c r="E424" s="14" t="s">
        <v>208</v>
      </c>
      <c r="F424" s="26"/>
      <c r="G424" s="38"/>
      <c r="H424" s="26" t="s">
        <v>70</v>
      </c>
      <c r="I424" s="12"/>
      <c r="J424" s="12"/>
      <c r="K424" s="242"/>
      <c r="L424" s="245"/>
      <c r="M424" s="25"/>
      <c r="N424" s="28" t="s">
        <v>382</v>
      </c>
      <c r="O424" s="32"/>
      <c r="P424" s="32"/>
      <c r="Q424" s="33"/>
    </row>
    <row r="425" spans="1:17" ht="33.75" customHeight="1">
      <c r="A425" s="16">
        <v>354</v>
      </c>
      <c r="B425" s="310" t="b">
        <v>0</v>
      </c>
      <c r="C425" s="12"/>
      <c r="D425" s="18"/>
      <c r="E425" s="14" t="s">
        <v>307</v>
      </c>
      <c r="F425" s="26"/>
      <c r="G425" s="38"/>
      <c r="H425" s="26" t="s">
        <v>70</v>
      </c>
      <c r="I425" s="12"/>
      <c r="J425" s="12"/>
      <c r="K425" s="242"/>
      <c r="L425" s="245"/>
      <c r="M425" s="25"/>
      <c r="N425" s="31"/>
      <c r="O425" s="32"/>
      <c r="P425" s="32"/>
      <c r="Q425" s="33"/>
    </row>
    <row r="426" spans="1:17" ht="33.75" customHeight="1">
      <c r="A426" s="16">
        <v>355</v>
      </c>
      <c r="B426" s="310" t="b">
        <v>0</v>
      </c>
      <c r="C426" s="12"/>
      <c r="D426" s="18"/>
      <c r="E426" s="14" t="s">
        <v>308</v>
      </c>
      <c r="F426" s="26"/>
      <c r="G426" s="38"/>
      <c r="H426" s="26" t="s">
        <v>70</v>
      </c>
      <c r="I426" s="12"/>
      <c r="J426" s="12"/>
      <c r="K426" s="242"/>
      <c r="L426" s="245"/>
      <c r="M426" s="25"/>
      <c r="N426" s="31"/>
      <c r="O426" s="32"/>
      <c r="P426" s="32"/>
      <c r="Q426" s="33"/>
    </row>
    <row r="427" spans="1:17" ht="33.75" customHeight="1">
      <c r="A427" s="16">
        <v>356</v>
      </c>
      <c r="B427" s="310" t="b">
        <v>0</v>
      </c>
      <c r="C427" s="12"/>
      <c r="D427" s="18"/>
      <c r="E427" s="14" t="s">
        <v>309</v>
      </c>
      <c r="F427" s="26"/>
      <c r="G427" s="38"/>
      <c r="H427" s="26" t="s">
        <v>70</v>
      </c>
      <c r="I427" s="12"/>
      <c r="J427" s="12"/>
      <c r="K427" s="242"/>
      <c r="L427" s="245"/>
      <c r="M427" s="25"/>
      <c r="N427" s="31"/>
      <c r="O427" s="32"/>
      <c r="P427" s="32"/>
      <c r="Q427" s="33"/>
    </row>
    <row r="428" spans="1:17" ht="33.75" customHeight="1">
      <c r="A428" s="16">
        <v>357</v>
      </c>
      <c r="B428" s="310" t="b">
        <v>0</v>
      </c>
      <c r="C428" s="12"/>
      <c r="D428" s="18"/>
      <c r="E428" s="14" t="s">
        <v>310</v>
      </c>
      <c r="F428" s="26"/>
      <c r="G428" s="38"/>
      <c r="H428" s="26" t="s">
        <v>70</v>
      </c>
      <c r="I428" s="12"/>
      <c r="J428" s="12"/>
      <c r="K428" s="242"/>
      <c r="L428" s="245"/>
      <c r="M428" s="25"/>
      <c r="N428" s="28" t="s">
        <v>382</v>
      </c>
      <c r="O428" s="32"/>
      <c r="P428" s="32"/>
      <c r="Q428" s="33"/>
    </row>
    <row r="429" spans="1:17" ht="33.75" customHeight="1">
      <c r="A429" s="16">
        <v>358</v>
      </c>
      <c r="B429" s="310" t="b">
        <v>0</v>
      </c>
      <c r="C429" s="12"/>
      <c r="D429" s="18"/>
      <c r="E429" s="14" t="s">
        <v>311</v>
      </c>
      <c r="F429" s="26"/>
      <c r="G429" s="38"/>
      <c r="H429" s="26" t="s">
        <v>70</v>
      </c>
      <c r="I429" s="12"/>
      <c r="J429" s="12"/>
      <c r="K429" s="242"/>
      <c r="L429" s="245"/>
      <c r="M429" s="25"/>
      <c r="N429" s="31"/>
      <c r="O429" s="32"/>
      <c r="P429" s="32"/>
      <c r="Q429" s="33"/>
    </row>
    <row r="430" spans="1:17" ht="33.75" customHeight="1">
      <c r="A430" s="16">
        <v>359</v>
      </c>
      <c r="B430" s="310" t="b">
        <v>0</v>
      </c>
      <c r="C430" s="12"/>
      <c r="D430" s="18"/>
      <c r="E430" s="14" t="s">
        <v>312</v>
      </c>
      <c r="F430" s="26"/>
      <c r="G430" s="38"/>
      <c r="H430" s="26" t="s">
        <v>70</v>
      </c>
      <c r="I430" s="12"/>
      <c r="J430" s="12"/>
      <c r="K430" s="242"/>
      <c r="L430" s="245"/>
      <c r="M430" s="25"/>
      <c r="N430" s="31"/>
      <c r="O430" s="32"/>
      <c r="P430" s="32"/>
      <c r="Q430" s="33"/>
    </row>
    <row r="431" spans="1:17" ht="33.75" customHeight="1">
      <c r="A431" s="16">
        <v>360</v>
      </c>
      <c r="B431" s="310" t="b">
        <v>0</v>
      </c>
      <c r="C431" s="12"/>
      <c r="D431" s="18"/>
      <c r="E431" s="14" t="s">
        <v>313</v>
      </c>
      <c r="F431" s="26"/>
      <c r="G431" s="38"/>
      <c r="H431" s="26" t="s">
        <v>70</v>
      </c>
      <c r="I431" s="12"/>
      <c r="J431" s="12"/>
      <c r="K431" s="242"/>
      <c r="L431" s="245"/>
      <c r="M431" s="25"/>
      <c r="N431" s="31"/>
      <c r="O431" s="32"/>
      <c r="P431" s="32"/>
      <c r="Q431" s="33"/>
    </row>
    <row r="432" spans="1:17" ht="33.75" customHeight="1">
      <c r="A432" s="16">
        <v>361</v>
      </c>
      <c r="B432" s="310" t="b">
        <v>0</v>
      </c>
      <c r="C432" s="12"/>
      <c r="D432" s="18"/>
      <c r="E432" s="14" t="s">
        <v>314</v>
      </c>
      <c r="F432" s="26"/>
      <c r="G432" s="38"/>
      <c r="H432" s="26" t="s">
        <v>70</v>
      </c>
      <c r="I432" s="12"/>
      <c r="J432" s="12"/>
      <c r="K432" s="242"/>
      <c r="L432" s="245"/>
      <c r="M432" s="25"/>
      <c r="N432" s="31"/>
      <c r="O432" s="32"/>
      <c r="P432" s="32"/>
      <c r="Q432" s="33"/>
    </row>
    <row r="433" spans="1:17" ht="33.75" customHeight="1">
      <c r="A433" s="16">
        <v>362</v>
      </c>
      <c r="B433" s="310" t="b">
        <v>0</v>
      </c>
      <c r="C433" s="12"/>
      <c r="D433" s="18"/>
      <c r="E433" s="14" t="s">
        <v>315</v>
      </c>
      <c r="F433" s="26"/>
      <c r="G433" s="38"/>
      <c r="H433" s="26" t="s">
        <v>70</v>
      </c>
      <c r="I433" s="12"/>
      <c r="J433" s="12"/>
      <c r="K433" s="242"/>
      <c r="L433" s="245"/>
      <c r="M433" s="25"/>
      <c r="N433" s="31"/>
      <c r="O433" s="32"/>
      <c r="P433" s="32"/>
      <c r="Q433" s="33"/>
    </row>
    <row r="434" spans="1:17" ht="33.75" customHeight="1">
      <c r="A434" s="16">
        <v>363</v>
      </c>
      <c r="B434" s="310" t="b">
        <v>0</v>
      </c>
      <c r="C434" s="12"/>
      <c r="D434" s="18"/>
      <c r="E434" s="14" t="s">
        <v>316</v>
      </c>
      <c r="F434" s="26"/>
      <c r="G434" s="38"/>
      <c r="H434" s="26" t="s">
        <v>70</v>
      </c>
      <c r="I434" s="12"/>
      <c r="J434" s="12"/>
      <c r="K434" s="242"/>
      <c r="L434" s="245"/>
      <c r="M434" s="25"/>
      <c r="N434" s="31"/>
      <c r="O434" s="32"/>
      <c r="P434" s="32"/>
      <c r="Q434" s="33"/>
    </row>
    <row r="435" spans="1:17" ht="33.75" customHeight="1">
      <c r="A435" s="16">
        <v>364</v>
      </c>
      <c r="B435" s="310" t="b">
        <v>0</v>
      </c>
      <c r="C435" s="12" t="s">
        <v>61</v>
      </c>
      <c r="D435" s="18"/>
      <c r="E435" s="14" t="s">
        <v>317</v>
      </c>
      <c r="F435" s="26"/>
      <c r="G435" s="38"/>
      <c r="H435" s="26" t="s">
        <v>70</v>
      </c>
      <c r="I435" s="12"/>
      <c r="J435" s="12"/>
      <c r="K435" s="242"/>
      <c r="L435" s="245"/>
      <c r="M435" s="25"/>
      <c r="N435" s="31"/>
      <c r="O435" s="32"/>
      <c r="P435" s="32"/>
      <c r="Q435" s="33"/>
    </row>
    <row r="436" spans="1:17" ht="33.75" customHeight="1">
      <c r="A436" s="16">
        <v>365</v>
      </c>
      <c r="B436" s="310" t="b">
        <v>0</v>
      </c>
      <c r="C436" s="12"/>
      <c r="D436" s="18"/>
      <c r="E436" s="14" t="s">
        <v>318</v>
      </c>
      <c r="F436" s="26"/>
      <c r="G436" s="38"/>
      <c r="H436" s="26" t="s">
        <v>70</v>
      </c>
      <c r="I436" s="12"/>
      <c r="J436" s="12"/>
      <c r="K436" s="242"/>
      <c r="L436" s="245"/>
      <c r="M436" s="25"/>
      <c r="N436" s="31"/>
      <c r="O436" s="32"/>
      <c r="P436" s="32"/>
      <c r="Q436" s="33"/>
    </row>
    <row r="437" spans="1:17" ht="33.75" customHeight="1">
      <c r="A437" s="16">
        <v>366</v>
      </c>
      <c r="B437" s="310" t="b">
        <v>0</v>
      </c>
      <c r="C437" s="12"/>
      <c r="D437" s="18"/>
      <c r="E437" s="14" t="s">
        <v>319</v>
      </c>
      <c r="F437" s="26"/>
      <c r="G437" s="38"/>
      <c r="H437" s="26" t="s">
        <v>70</v>
      </c>
      <c r="I437" s="12"/>
      <c r="J437" s="12"/>
      <c r="K437" s="242"/>
      <c r="L437" s="245"/>
      <c r="M437" s="25"/>
      <c r="N437" s="31"/>
      <c r="O437" s="32"/>
      <c r="P437" s="32"/>
      <c r="Q437" s="33"/>
    </row>
    <row r="438" spans="1:17" ht="33.75" customHeight="1">
      <c r="A438" s="16">
        <v>367</v>
      </c>
      <c r="B438" s="310" t="b">
        <v>0</v>
      </c>
      <c r="C438" s="12"/>
      <c r="D438" s="18"/>
      <c r="E438" s="14" t="s">
        <v>322</v>
      </c>
      <c r="F438" s="26"/>
      <c r="G438" s="38"/>
      <c r="H438" s="26" t="s">
        <v>70</v>
      </c>
      <c r="I438" s="12"/>
      <c r="J438" s="12"/>
      <c r="K438" s="242"/>
      <c r="L438" s="245"/>
      <c r="M438" s="25"/>
      <c r="N438" s="31"/>
      <c r="O438" s="32"/>
      <c r="P438" s="32"/>
      <c r="Q438" s="33"/>
    </row>
    <row r="439" spans="1:17" ht="33.75" customHeight="1">
      <c r="A439" s="16">
        <v>368</v>
      </c>
      <c r="B439" s="310" t="b">
        <v>0</v>
      </c>
      <c r="C439" s="12"/>
      <c r="D439" s="18"/>
      <c r="E439" s="14" t="s">
        <v>323</v>
      </c>
      <c r="F439" s="26"/>
      <c r="G439" s="38"/>
      <c r="H439" s="26" t="s">
        <v>70</v>
      </c>
      <c r="I439" s="12"/>
      <c r="J439" s="12"/>
      <c r="K439" s="242"/>
      <c r="L439" s="245"/>
      <c r="M439" s="25"/>
      <c r="N439" s="31"/>
      <c r="O439" s="32"/>
      <c r="P439" s="32"/>
      <c r="Q439" s="33"/>
    </row>
    <row r="440" spans="1:17" ht="33.75" customHeight="1">
      <c r="A440" s="16">
        <v>369</v>
      </c>
      <c r="B440" s="310" t="b">
        <v>0</v>
      </c>
      <c r="C440" s="12"/>
      <c r="D440" s="18"/>
      <c r="E440" s="14" t="s">
        <v>327</v>
      </c>
      <c r="F440" s="26"/>
      <c r="G440" s="38"/>
      <c r="H440" s="26" t="s">
        <v>70</v>
      </c>
      <c r="I440" s="12"/>
      <c r="J440" s="12"/>
      <c r="K440" s="242"/>
      <c r="L440" s="245"/>
      <c r="M440" s="25"/>
      <c r="N440" s="31"/>
      <c r="O440" s="32"/>
      <c r="P440" s="32"/>
      <c r="Q440" s="33"/>
    </row>
    <row r="441" spans="1:17" ht="33.75" customHeight="1">
      <c r="A441" s="16">
        <v>370</v>
      </c>
      <c r="B441" s="310" t="b">
        <v>0</v>
      </c>
      <c r="C441" s="12"/>
      <c r="D441" s="18"/>
      <c r="E441" s="14" t="s">
        <v>327</v>
      </c>
      <c r="F441" s="26"/>
      <c r="G441" s="38"/>
      <c r="H441" s="26" t="s">
        <v>70</v>
      </c>
      <c r="I441" s="12"/>
      <c r="J441" s="12"/>
      <c r="K441" s="242"/>
      <c r="L441" s="245"/>
      <c r="M441" s="25"/>
      <c r="N441" s="31"/>
      <c r="O441" s="32"/>
      <c r="P441" s="32"/>
      <c r="Q441" s="33"/>
    </row>
    <row r="442" spans="1:17" ht="33.75" customHeight="1">
      <c r="A442" s="16">
        <v>371</v>
      </c>
      <c r="B442" s="310" t="b">
        <v>0</v>
      </c>
      <c r="C442" s="12"/>
      <c r="D442" s="18"/>
      <c r="E442" s="14" t="s">
        <v>328</v>
      </c>
      <c r="F442" s="26"/>
      <c r="G442" s="38"/>
      <c r="H442" s="26" t="s">
        <v>70</v>
      </c>
      <c r="I442" s="12"/>
      <c r="J442" s="12"/>
      <c r="K442" s="242"/>
      <c r="L442" s="245"/>
      <c r="M442" s="25"/>
      <c r="N442" s="31"/>
      <c r="O442" s="32"/>
      <c r="P442" s="32"/>
      <c r="Q442" s="33"/>
    </row>
    <row r="443" spans="1:17" ht="33.75" customHeight="1">
      <c r="A443" s="16">
        <v>372</v>
      </c>
      <c r="B443" s="310" t="b">
        <v>0</v>
      </c>
      <c r="C443" s="12"/>
      <c r="D443" s="18"/>
      <c r="E443" s="14" t="s">
        <v>236</v>
      </c>
      <c r="F443" s="26"/>
      <c r="G443" s="38"/>
      <c r="H443" s="26" t="s">
        <v>70</v>
      </c>
      <c r="I443" s="12"/>
      <c r="J443" s="12"/>
      <c r="K443" s="242"/>
      <c r="L443" s="245"/>
      <c r="M443" s="25"/>
      <c r="N443" s="31"/>
      <c r="O443" s="32"/>
      <c r="P443" s="32"/>
      <c r="Q443" s="33"/>
    </row>
    <row r="444" spans="1:17" ht="33.75" customHeight="1">
      <c r="A444" s="16">
        <v>373</v>
      </c>
      <c r="B444" s="310" t="b">
        <v>0</v>
      </c>
      <c r="C444" s="12"/>
      <c r="D444" s="18"/>
      <c r="E444" s="14" t="s">
        <v>250</v>
      </c>
      <c r="F444" s="26"/>
      <c r="G444" s="38"/>
      <c r="H444" s="26" t="s">
        <v>72</v>
      </c>
      <c r="I444" s="12"/>
      <c r="J444" s="12"/>
      <c r="K444" s="242"/>
      <c r="L444" s="245"/>
      <c r="M444" s="25"/>
      <c r="N444" s="28" t="s">
        <v>245</v>
      </c>
      <c r="O444" s="32"/>
      <c r="P444" s="32"/>
      <c r="Q444" s="33"/>
    </row>
    <row r="445" spans="1:17" ht="33.75" customHeight="1">
      <c r="A445" s="16">
        <v>374</v>
      </c>
      <c r="B445" s="310" t="b">
        <v>0</v>
      </c>
      <c r="C445" s="12"/>
      <c r="D445" s="18"/>
      <c r="E445" s="14" t="s">
        <v>249</v>
      </c>
      <c r="F445" s="26"/>
      <c r="G445" s="38"/>
      <c r="H445" s="26" t="s">
        <v>72</v>
      </c>
      <c r="I445" s="12"/>
      <c r="J445" s="12"/>
      <c r="K445" s="242"/>
      <c r="L445" s="245"/>
      <c r="M445" s="25"/>
      <c r="N445" s="28" t="s">
        <v>382</v>
      </c>
      <c r="O445" s="32"/>
      <c r="P445" s="32"/>
      <c r="Q445" s="33"/>
    </row>
    <row r="446" spans="1:17" ht="33.75" customHeight="1">
      <c r="A446" s="16">
        <v>375</v>
      </c>
      <c r="B446" s="310" t="b">
        <v>0</v>
      </c>
      <c r="C446" s="12"/>
      <c r="D446" s="18"/>
      <c r="E446" s="14" t="s">
        <v>249</v>
      </c>
      <c r="F446" s="26"/>
      <c r="G446" s="38"/>
      <c r="H446" s="26" t="s">
        <v>72</v>
      </c>
      <c r="I446" s="12"/>
      <c r="J446" s="12"/>
      <c r="K446" s="242"/>
      <c r="L446" s="245"/>
      <c r="M446" s="25"/>
      <c r="N446" s="28" t="s">
        <v>382</v>
      </c>
      <c r="O446" s="32"/>
      <c r="P446" s="32"/>
      <c r="Q446" s="33"/>
    </row>
    <row r="447" spans="1:17" ht="33.75" customHeight="1">
      <c r="A447" s="16">
        <v>376</v>
      </c>
      <c r="B447" s="310" t="b">
        <v>0</v>
      </c>
      <c r="C447" s="12"/>
      <c r="D447" s="18"/>
      <c r="E447" s="14" t="s">
        <v>249</v>
      </c>
      <c r="F447" s="26"/>
      <c r="G447" s="38"/>
      <c r="H447" s="26" t="s">
        <v>72</v>
      </c>
      <c r="I447" s="12"/>
      <c r="J447" s="12"/>
      <c r="K447" s="242"/>
      <c r="L447" s="245"/>
      <c r="M447" s="25"/>
      <c r="N447" s="28" t="s">
        <v>382</v>
      </c>
      <c r="O447" s="32"/>
      <c r="P447" s="32"/>
      <c r="Q447" s="33"/>
    </row>
    <row r="448" spans="1:17" ht="33.75" customHeight="1">
      <c r="A448" s="16">
        <v>377</v>
      </c>
      <c r="B448" s="310" t="b">
        <v>0</v>
      </c>
      <c r="C448" s="12"/>
      <c r="D448" s="18"/>
      <c r="E448" s="14" t="s">
        <v>260</v>
      </c>
      <c r="F448" s="26"/>
      <c r="G448" s="38"/>
      <c r="H448" s="26" t="s">
        <v>70</v>
      </c>
      <c r="I448" s="12"/>
      <c r="J448" s="12"/>
      <c r="K448" s="242"/>
      <c r="L448" s="245"/>
      <c r="M448" s="25"/>
      <c r="N448" s="31"/>
      <c r="O448" s="32"/>
      <c r="P448" s="32"/>
      <c r="Q448" s="33"/>
    </row>
    <row r="449" spans="1:17" ht="33.75" customHeight="1">
      <c r="A449" s="16">
        <v>378</v>
      </c>
      <c r="B449" s="310" t="b">
        <v>0</v>
      </c>
      <c r="C449" s="12"/>
      <c r="D449" s="18" t="s">
        <v>362</v>
      </c>
      <c r="E449" s="14" t="s">
        <v>363</v>
      </c>
      <c r="F449" s="26"/>
      <c r="G449" s="38"/>
      <c r="H449" s="26" t="s">
        <v>72</v>
      </c>
      <c r="I449" s="12"/>
      <c r="J449" s="12"/>
      <c r="K449" s="242"/>
      <c r="L449" s="245"/>
      <c r="M449" s="25"/>
      <c r="N449" s="31"/>
      <c r="O449" s="32"/>
      <c r="P449" s="32"/>
      <c r="Q449" s="33"/>
    </row>
    <row r="450" spans="1:17" ht="33.75" customHeight="1">
      <c r="A450" s="16">
        <v>379</v>
      </c>
      <c r="B450" s="310" t="b">
        <v>0</v>
      </c>
      <c r="C450" s="12"/>
      <c r="D450" s="18" t="s">
        <v>364</v>
      </c>
      <c r="E450" s="14" t="s">
        <v>365</v>
      </c>
      <c r="F450" s="26"/>
      <c r="G450" s="38"/>
      <c r="H450" s="26" t="s">
        <v>72</v>
      </c>
      <c r="I450" s="12"/>
      <c r="J450" s="12"/>
      <c r="K450" s="242"/>
      <c r="L450" s="245"/>
      <c r="M450" s="25"/>
      <c r="N450" s="31"/>
      <c r="O450" s="32"/>
      <c r="P450" s="32"/>
      <c r="Q450" s="33"/>
    </row>
    <row r="451" spans="1:17" ht="33.75" customHeight="1">
      <c r="A451" s="16">
        <v>380</v>
      </c>
      <c r="B451" s="310" t="b">
        <v>0</v>
      </c>
      <c r="C451" s="12"/>
      <c r="D451" s="18" t="s">
        <v>366</v>
      </c>
      <c r="E451" s="14" t="s">
        <v>367</v>
      </c>
      <c r="F451" s="26"/>
      <c r="G451" s="38"/>
      <c r="H451" s="26" t="s">
        <v>72</v>
      </c>
      <c r="I451" s="12"/>
      <c r="J451" s="12"/>
      <c r="K451" s="242"/>
      <c r="L451" s="245"/>
      <c r="M451" s="25"/>
      <c r="N451" s="31"/>
      <c r="O451" s="32"/>
      <c r="P451" s="32"/>
      <c r="Q451" s="33"/>
    </row>
    <row r="452" spans="1:17" ht="33.75" customHeight="1">
      <c r="A452" s="16">
        <v>381</v>
      </c>
      <c r="B452" s="310" t="b">
        <v>0</v>
      </c>
      <c r="C452" s="12"/>
      <c r="D452" s="18" t="s">
        <v>368</v>
      </c>
      <c r="E452" s="14" t="s">
        <v>369</v>
      </c>
      <c r="F452" s="26"/>
      <c r="G452" s="38"/>
      <c r="H452" s="26" t="s">
        <v>72</v>
      </c>
      <c r="I452" s="12"/>
      <c r="J452" s="12"/>
      <c r="K452" s="242"/>
      <c r="L452" s="245"/>
      <c r="M452" s="25"/>
      <c r="N452" s="31"/>
      <c r="O452" s="32"/>
      <c r="P452" s="32"/>
      <c r="Q452" s="33"/>
    </row>
    <row r="453" spans="1:17" ht="33.75" customHeight="1">
      <c r="A453" s="16">
        <v>382</v>
      </c>
      <c r="B453" s="310" t="b">
        <v>0</v>
      </c>
      <c r="C453" s="12"/>
      <c r="D453" s="18"/>
      <c r="E453" s="14" t="s">
        <v>324</v>
      </c>
      <c r="F453" s="26"/>
      <c r="G453" s="38"/>
      <c r="H453" s="26" t="s">
        <v>70</v>
      </c>
      <c r="I453" s="12"/>
      <c r="J453" s="12"/>
      <c r="K453" s="242"/>
      <c r="L453" s="245"/>
      <c r="M453" s="25"/>
      <c r="N453" s="31"/>
      <c r="O453" s="32"/>
      <c r="P453" s="32"/>
      <c r="Q453" s="33"/>
    </row>
    <row r="454" spans="1:17" ht="33.75" customHeight="1">
      <c r="A454" s="16">
        <v>383</v>
      </c>
      <c r="B454" s="310" t="b">
        <v>0</v>
      </c>
      <c r="C454" s="12"/>
      <c r="D454" s="18"/>
      <c r="E454" s="14" t="s">
        <v>325</v>
      </c>
      <c r="F454" s="26"/>
      <c r="G454" s="38"/>
      <c r="H454" s="26" t="s">
        <v>70</v>
      </c>
      <c r="I454" s="12"/>
      <c r="J454" s="12"/>
      <c r="K454" s="242"/>
      <c r="L454" s="245"/>
      <c r="M454" s="25"/>
      <c r="N454" s="28" t="s">
        <v>382</v>
      </c>
      <c r="O454" s="32"/>
      <c r="P454" s="32"/>
      <c r="Q454" s="33"/>
    </row>
    <row r="455" spans="1:17" ht="33.75" customHeight="1">
      <c r="A455" s="16">
        <v>384</v>
      </c>
      <c r="B455" s="310" t="b">
        <v>0</v>
      </c>
      <c r="C455" s="12"/>
      <c r="D455" s="18"/>
      <c r="E455" s="154" t="s">
        <v>173</v>
      </c>
      <c r="F455" s="26"/>
      <c r="G455" s="38"/>
      <c r="H455" s="26" t="s">
        <v>396</v>
      </c>
      <c r="I455" s="12"/>
      <c r="J455" s="12"/>
      <c r="K455" s="242"/>
      <c r="L455" s="245"/>
      <c r="M455" s="25"/>
      <c r="N455" s="31"/>
      <c r="O455" s="32"/>
      <c r="P455" s="32"/>
      <c r="Q455" s="33"/>
    </row>
    <row r="456" spans="1:17" ht="33.75" customHeight="1">
      <c r="A456" s="16">
        <v>385</v>
      </c>
      <c r="B456" s="310" t="b">
        <v>0</v>
      </c>
      <c r="C456" s="12"/>
      <c r="D456" s="18"/>
      <c r="E456" s="154" t="s">
        <v>172</v>
      </c>
      <c r="F456" s="26"/>
      <c r="G456" s="38"/>
      <c r="H456" s="26" t="s">
        <v>396</v>
      </c>
      <c r="I456" s="12"/>
      <c r="J456" s="12"/>
      <c r="K456" s="242"/>
      <c r="L456" s="245"/>
      <c r="M456" s="25"/>
      <c r="N456" s="31"/>
      <c r="O456" s="32"/>
      <c r="P456" s="32"/>
      <c r="Q456" s="33"/>
    </row>
    <row r="457" spans="1:17" ht="33.75" customHeight="1">
      <c r="A457" s="16">
        <v>386</v>
      </c>
      <c r="B457" s="310" t="b">
        <v>0</v>
      </c>
      <c r="C457" s="12"/>
      <c r="D457" s="18"/>
      <c r="E457" s="154" t="s">
        <v>172</v>
      </c>
      <c r="F457" s="26"/>
      <c r="G457" s="38"/>
      <c r="H457" s="26" t="s">
        <v>396</v>
      </c>
      <c r="I457" s="12"/>
      <c r="J457" s="12"/>
      <c r="K457" s="242"/>
      <c r="L457" s="245"/>
      <c r="M457" s="25"/>
      <c r="N457" s="31"/>
      <c r="O457" s="32"/>
      <c r="P457" s="32"/>
      <c r="Q457" s="33"/>
    </row>
    <row r="458" spans="1:17" ht="33.75" customHeight="1">
      <c r="A458" s="16">
        <v>387</v>
      </c>
      <c r="B458" s="310" t="b">
        <v>0</v>
      </c>
      <c r="C458" s="12"/>
      <c r="D458" s="18"/>
      <c r="E458" s="154" t="s">
        <v>172</v>
      </c>
      <c r="F458" s="26"/>
      <c r="G458" s="38"/>
      <c r="H458" s="26" t="s">
        <v>396</v>
      </c>
      <c r="I458" s="12"/>
      <c r="J458" s="12"/>
      <c r="K458" s="242"/>
      <c r="L458" s="245"/>
      <c r="M458" s="25"/>
      <c r="N458" s="31"/>
      <c r="O458" s="32"/>
      <c r="P458" s="32"/>
      <c r="Q458" s="33"/>
    </row>
    <row r="459" spans="1:17" ht="33.75" customHeight="1">
      <c r="A459" s="16">
        <v>388</v>
      </c>
      <c r="B459" s="310" t="b">
        <v>0</v>
      </c>
      <c r="C459" s="12"/>
      <c r="D459" s="18"/>
      <c r="E459" s="154" t="s">
        <v>172</v>
      </c>
      <c r="F459" s="26"/>
      <c r="G459" s="38"/>
      <c r="H459" s="26" t="s">
        <v>396</v>
      </c>
      <c r="I459" s="12"/>
      <c r="J459" s="12"/>
      <c r="K459" s="242"/>
      <c r="L459" s="245"/>
      <c r="M459" s="25"/>
      <c r="N459" s="31"/>
      <c r="O459" s="32"/>
      <c r="P459" s="32"/>
      <c r="Q459" s="33"/>
    </row>
    <row r="460" spans="1:17" ht="33.75" customHeight="1">
      <c r="A460" s="16">
        <v>389</v>
      </c>
      <c r="B460" s="310" t="b">
        <v>0</v>
      </c>
      <c r="C460" s="12"/>
      <c r="D460" s="18"/>
      <c r="E460" s="154" t="s">
        <v>172</v>
      </c>
      <c r="F460" s="26"/>
      <c r="G460" s="38"/>
      <c r="H460" s="26" t="s">
        <v>396</v>
      </c>
      <c r="I460" s="12"/>
      <c r="J460" s="12"/>
      <c r="K460" s="242"/>
      <c r="L460" s="245"/>
      <c r="M460" s="25"/>
      <c r="N460" s="31"/>
      <c r="O460" s="32"/>
      <c r="P460" s="32"/>
      <c r="Q460" s="33"/>
    </row>
    <row r="461" spans="1:17" ht="33.75" customHeight="1">
      <c r="A461" s="16">
        <v>390</v>
      </c>
      <c r="B461" s="310" t="b">
        <v>0</v>
      </c>
      <c r="C461" s="12"/>
      <c r="D461" s="18"/>
      <c r="E461" s="154" t="s">
        <v>172</v>
      </c>
      <c r="F461" s="26"/>
      <c r="G461" s="38"/>
      <c r="H461" s="26" t="s">
        <v>396</v>
      </c>
      <c r="I461" s="12"/>
      <c r="J461" s="12"/>
      <c r="K461" s="242"/>
      <c r="L461" s="245"/>
      <c r="M461" s="25"/>
      <c r="N461" s="31"/>
      <c r="O461" s="32"/>
      <c r="P461" s="32"/>
      <c r="Q461" s="33"/>
    </row>
    <row r="462" spans="1:17" ht="33.75" customHeight="1">
      <c r="A462" s="16">
        <v>391</v>
      </c>
      <c r="B462" s="310" t="b">
        <v>0</v>
      </c>
      <c r="C462" s="12"/>
      <c r="D462" s="18"/>
      <c r="E462" s="154" t="s">
        <v>406</v>
      </c>
      <c r="F462" s="26"/>
      <c r="G462" s="38"/>
      <c r="H462" s="26" t="s">
        <v>396</v>
      </c>
      <c r="I462" s="12"/>
      <c r="J462" s="12"/>
      <c r="K462" s="242"/>
      <c r="L462" s="245"/>
      <c r="M462" s="181" t="s">
        <v>420</v>
      </c>
      <c r="N462" s="31"/>
      <c r="O462" s="32"/>
      <c r="P462" s="32"/>
      <c r="Q462" s="33"/>
    </row>
    <row r="463" spans="1:17" ht="33.75" customHeight="1">
      <c r="A463" s="16">
        <v>392</v>
      </c>
      <c r="B463" s="310" t="b">
        <v>0</v>
      </c>
      <c r="C463" s="12"/>
      <c r="D463" s="18"/>
      <c r="E463" s="154" t="s">
        <v>406</v>
      </c>
      <c r="F463" s="26"/>
      <c r="G463" s="38"/>
      <c r="H463" s="26" t="s">
        <v>396</v>
      </c>
      <c r="I463" s="12"/>
      <c r="J463" s="12"/>
      <c r="K463" s="242"/>
      <c r="L463" s="245"/>
      <c r="M463" s="181" t="s">
        <v>420</v>
      </c>
      <c r="N463" s="31"/>
      <c r="O463" s="32"/>
      <c r="P463" s="32"/>
      <c r="Q463" s="33"/>
    </row>
    <row r="464" spans="1:17" ht="33.75" customHeight="1">
      <c r="A464" s="16">
        <v>393</v>
      </c>
      <c r="B464" s="310" t="b">
        <v>0</v>
      </c>
      <c r="C464" s="12"/>
      <c r="D464" s="18"/>
      <c r="E464" s="154" t="s">
        <v>406</v>
      </c>
      <c r="F464" s="26"/>
      <c r="G464" s="38"/>
      <c r="H464" s="26" t="s">
        <v>396</v>
      </c>
      <c r="I464" s="12"/>
      <c r="J464" s="12"/>
      <c r="K464" s="242"/>
      <c r="L464" s="245"/>
      <c r="M464" s="181" t="s">
        <v>420</v>
      </c>
      <c r="N464" s="31"/>
      <c r="O464" s="32"/>
      <c r="P464" s="32"/>
      <c r="Q464" s="33"/>
    </row>
    <row r="465" spans="1:17" ht="33.75" customHeight="1">
      <c r="A465" s="16">
        <v>394</v>
      </c>
      <c r="B465" s="310" t="b">
        <v>0</v>
      </c>
      <c r="C465" s="12"/>
      <c r="D465" s="18"/>
      <c r="E465" s="154" t="s">
        <v>407</v>
      </c>
      <c r="F465" s="26"/>
      <c r="G465" s="38"/>
      <c r="H465" s="26" t="s">
        <v>396</v>
      </c>
      <c r="I465" s="12"/>
      <c r="J465" s="12"/>
      <c r="K465" s="242"/>
      <c r="L465" s="245"/>
      <c r="M465" s="181" t="s">
        <v>420</v>
      </c>
      <c r="N465" s="31"/>
      <c r="O465" s="32"/>
      <c r="P465" s="32"/>
      <c r="Q465" s="33"/>
    </row>
    <row r="466" spans="1:17" ht="33.75" customHeight="1">
      <c r="A466" s="16">
        <v>395</v>
      </c>
      <c r="B466" s="310" t="b">
        <v>0</v>
      </c>
      <c r="C466" s="12"/>
      <c r="D466" s="18" t="s">
        <v>425</v>
      </c>
      <c r="E466" s="154" t="s">
        <v>408</v>
      </c>
      <c r="F466" s="26"/>
      <c r="G466" s="38">
        <v>1</v>
      </c>
      <c r="H466" s="26" t="s">
        <v>396</v>
      </c>
      <c r="I466" s="12"/>
      <c r="J466" s="12"/>
      <c r="K466" s="242"/>
      <c r="L466" s="245"/>
      <c r="M466" s="181" t="s">
        <v>420</v>
      </c>
      <c r="N466" s="31"/>
      <c r="O466" s="32"/>
      <c r="P466" s="32"/>
      <c r="Q466" s="33"/>
    </row>
    <row r="467" spans="1:17" ht="33.75" customHeight="1">
      <c r="A467" s="16">
        <v>396</v>
      </c>
      <c r="B467" s="310" t="b">
        <v>0</v>
      </c>
      <c r="C467" s="12"/>
      <c r="D467" s="18" t="s">
        <v>480</v>
      </c>
      <c r="E467" s="154" t="s">
        <v>409</v>
      </c>
      <c r="F467" s="26"/>
      <c r="G467" s="38">
        <v>4</v>
      </c>
      <c r="H467" s="26" t="s">
        <v>396</v>
      </c>
      <c r="I467" s="12"/>
      <c r="J467" s="12"/>
      <c r="K467" s="242"/>
      <c r="L467" s="245"/>
      <c r="M467" s="181" t="s">
        <v>420</v>
      </c>
      <c r="N467" s="31"/>
      <c r="O467" s="32"/>
      <c r="P467" s="32"/>
      <c r="Q467" s="33"/>
    </row>
    <row r="468" spans="1:17" ht="33.75" customHeight="1">
      <c r="A468" s="16">
        <v>397</v>
      </c>
      <c r="B468" s="310" t="b">
        <v>0</v>
      </c>
      <c r="C468" s="12"/>
      <c r="D468" s="18" t="s">
        <v>426</v>
      </c>
      <c r="E468" s="154" t="s">
        <v>410</v>
      </c>
      <c r="F468" s="26"/>
      <c r="G468" s="38">
        <v>32</v>
      </c>
      <c r="H468" s="26" t="s">
        <v>396</v>
      </c>
      <c r="I468" s="12"/>
      <c r="J468" s="12"/>
      <c r="K468" s="242"/>
      <c r="L468" s="245"/>
      <c r="M468" s="181" t="s">
        <v>420</v>
      </c>
      <c r="N468" s="31"/>
      <c r="O468" s="32"/>
      <c r="P468" s="32"/>
      <c r="Q468" s="33"/>
    </row>
    <row r="469" spans="1:17" ht="33.75" customHeight="1">
      <c r="A469" s="16">
        <v>398</v>
      </c>
      <c r="B469" s="310" t="b">
        <v>0</v>
      </c>
      <c r="C469" s="12"/>
      <c r="D469" s="18" t="s">
        <v>427</v>
      </c>
      <c r="E469" s="154" t="s">
        <v>411</v>
      </c>
      <c r="F469" s="26"/>
      <c r="G469" s="38">
        <v>16</v>
      </c>
      <c r="H469" s="26" t="s">
        <v>396</v>
      </c>
      <c r="I469" s="12"/>
      <c r="J469" s="12"/>
      <c r="K469" s="242"/>
      <c r="L469" s="245"/>
      <c r="M469" s="25"/>
      <c r="N469" s="31"/>
      <c r="O469" s="32"/>
      <c r="P469" s="32"/>
      <c r="Q469" s="33"/>
    </row>
    <row r="470" spans="1:17" ht="33.75" customHeight="1">
      <c r="A470" s="16">
        <v>399</v>
      </c>
      <c r="B470" s="310" t="b">
        <v>0</v>
      </c>
      <c r="C470" s="12"/>
      <c r="D470" s="18" t="s">
        <v>477</v>
      </c>
      <c r="E470" s="154" t="s">
        <v>468</v>
      </c>
      <c r="F470" s="26"/>
      <c r="G470" s="38">
        <v>32</v>
      </c>
      <c r="H470" s="26" t="s">
        <v>72</v>
      </c>
      <c r="I470" s="12"/>
      <c r="J470" s="12"/>
      <c r="K470" s="242"/>
      <c r="L470" s="245"/>
      <c r="M470" s="25"/>
      <c r="N470" s="28" t="s">
        <v>484</v>
      </c>
      <c r="O470" s="32"/>
      <c r="P470" s="32"/>
      <c r="Q470" s="33"/>
    </row>
    <row r="471" spans="1:17" ht="33.75" customHeight="1">
      <c r="A471" s="16">
        <v>400</v>
      </c>
      <c r="B471" s="310" t="b">
        <v>0</v>
      </c>
      <c r="C471" s="12"/>
      <c r="D471" s="18" t="s">
        <v>428</v>
      </c>
      <c r="E471" s="14" t="s">
        <v>412</v>
      </c>
      <c r="F471" s="26"/>
      <c r="G471" s="38">
        <v>3</v>
      </c>
      <c r="H471" s="26" t="s">
        <v>396</v>
      </c>
      <c r="I471" s="12"/>
      <c r="J471" s="12"/>
      <c r="K471" s="242"/>
      <c r="L471" s="245"/>
      <c r="M471" s="181" t="s">
        <v>420</v>
      </c>
      <c r="N471" s="31"/>
      <c r="O471" s="32"/>
      <c r="P471" s="32"/>
      <c r="Q471" s="33"/>
    </row>
    <row r="472" spans="1:17" ht="33.75" customHeight="1">
      <c r="A472" s="16">
        <v>401</v>
      </c>
      <c r="B472" s="310" t="b">
        <v>0</v>
      </c>
      <c r="C472" s="12"/>
      <c r="D472" s="18" t="s">
        <v>434</v>
      </c>
      <c r="E472" s="154" t="s">
        <v>413</v>
      </c>
      <c r="F472" s="26"/>
      <c r="G472" s="38"/>
      <c r="H472" s="26" t="s">
        <v>72</v>
      </c>
      <c r="I472" s="12"/>
      <c r="J472" s="12"/>
      <c r="K472" s="242"/>
      <c r="L472" s="245"/>
      <c r="M472" s="181" t="s">
        <v>420</v>
      </c>
      <c r="N472" s="28" t="s">
        <v>418</v>
      </c>
      <c r="O472" s="32"/>
      <c r="P472" s="32"/>
      <c r="Q472" s="33"/>
    </row>
    <row r="473" spans="1:17" ht="33.75" customHeight="1">
      <c r="A473" s="16">
        <v>402</v>
      </c>
      <c r="B473" s="310" t="b">
        <v>0</v>
      </c>
      <c r="C473" s="12"/>
      <c r="D473" s="18" t="s">
        <v>452</v>
      </c>
      <c r="E473" s="154" t="s">
        <v>318</v>
      </c>
      <c r="F473" s="26"/>
      <c r="G473" s="38"/>
      <c r="H473" s="26" t="s">
        <v>70</v>
      </c>
      <c r="I473" s="12"/>
      <c r="J473" s="12"/>
      <c r="K473" s="242"/>
      <c r="L473" s="245"/>
      <c r="M473" s="193" t="s">
        <v>453</v>
      </c>
      <c r="N473" s="28" t="s">
        <v>454</v>
      </c>
      <c r="O473" s="185"/>
      <c r="P473" s="185"/>
      <c r="Q473" s="186"/>
    </row>
    <row r="474" spans="1:17" ht="33.75" customHeight="1">
      <c r="A474" s="16">
        <v>403</v>
      </c>
      <c r="B474" s="310" t="b">
        <v>0</v>
      </c>
      <c r="C474" s="12"/>
      <c r="D474" s="18" t="s">
        <v>455</v>
      </c>
      <c r="E474" s="154" t="s">
        <v>456</v>
      </c>
      <c r="F474" s="26"/>
      <c r="G474" s="38"/>
      <c r="H474" s="26" t="s">
        <v>70</v>
      </c>
      <c r="I474" s="12"/>
      <c r="J474" s="12"/>
      <c r="K474" s="242"/>
      <c r="L474" s="245"/>
      <c r="M474" s="181"/>
      <c r="N474" s="28" t="s">
        <v>457</v>
      </c>
      <c r="O474" s="185"/>
      <c r="P474" s="185"/>
      <c r="Q474" s="186"/>
    </row>
    <row r="475" spans="1:17" ht="33.75" customHeight="1">
      <c r="A475" s="16">
        <v>404</v>
      </c>
      <c r="B475" s="310" t="b">
        <v>0</v>
      </c>
      <c r="C475" s="12"/>
      <c r="D475" s="18"/>
      <c r="E475" s="154" t="s">
        <v>413</v>
      </c>
      <c r="F475" s="26"/>
      <c r="G475" s="38"/>
      <c r="H475" s="26" t="s">
        <v>72</v>
      </c>
      <c r="I475" s="12"/>
      <c r="J475" s="12"/>
      <c r="K475" s="242"/>
      <c r="L475" s="245"/>
      <c r="M475" s="181" t="s">
        <v>420</v>
      </c>
      <c r="N475" s="28" t="s">
        <v>418</v>
      </c>
      <c r="O475" s="32"/>
      <c r="P475" s="32"/>
      <c r="Q475" s="33"/>
    </row>
    <row r="476" spans="1:17" ht="33.75" customHeight="1">
      <c r="A476" s="16">
        <v>405</v>
      </c>
      <c r="B476" s="310" t="b">
        <v>0</v>
      </c>
      <c r="C476" s="12"/>
      <c r="D476" s="18"/>
      <c r="E476" s="154" t="s">
        <v>413</v>
      </c>
      <c r="F476" s="26"/>
      <c r="G476" s="38"/>
      <c r="H476" s="26" t="s">
        <v>72</v>
      </c>
      <c r="I476" s="12"/>
      <c r="J476" s="12"/>
      <c r="K476" s="242"/>
      <c r="L476" s="245"/>
      <c r="M476" s="181" t="s">
        <v>420</v>
      </c>
      <c r="N476" s="28" t="s">
        <v>418</v>
      </c>
      <c r="O476" s="32"/>
      <c r="P476" s="32"/>
      <c r="Q476" s="33"/>
    </row>
    <row r="477" spans="1:17" ht="33.75" customHeight="1">
      <c r="A477" s="16">
        <v>406</v>
      </c>
      <c r="B477" s="310" t="b">
        <v>0</v>
      </c>
      <c r="C477" s="12"/>
      <c r="D477" s="18" t="s">
        <v>487</v>
      </c>
      <c r="E477" s="154" t="s">
        <v>423</v>
      </c>
      <c r="F477" s="26"/>
      <c r="G477" s="38">
        <v>7</v>
      </c>
      <c r="H477" s="26" t="s">
        <v>72</v>
      </c>
      <c r="I477" s="12"/>
      <c r="J477" s="12"/>
      <c r="K477" s="242"/>
      <c r="L477" s="245"/>
      <c r="M477" s="25"/>
      <c r="N477" s="199" t="s">
        <v>401</v>
      </c>
      <c r="O477" s="32"/>
      <c r="P477" s="32"/>
      <c r="Q477" s="33"/>
    </row>
    <row r="478" spans="1:17" ht="33.75" customHeight="1">
      <c r="A478" s="16">
        <v>407</v>
      </c>
      <c r="B478" s="310" t="b">
        <v>0</v>
      </c>
      <c r="C478" s="12"/>
      <c r="D478" s="18"/>
      <c r="E478" s="14" t="s">
        <v>424</v>
      </c>
      <c r="F478" s="26"/>
      <c r="G478" s="38"/>
      <c r="H478" s="26" t="s">
        <v>72</v>
      </c>
      <c r="I478" s="12"/>
      <c r="J478" s="12"/>
      <c r="K478" s="242"/>
      <c r="L478" s="245"/>
      <c r="M478" s="25"/>
      <c r="N478" s="199" t="s">
        <v>401</v>
      </c>
      <c r="O478" s="185"/>
      <c r="P478" s="185"/>
      <c r="Q478" s="186"/>
    </row>
    <row r="479" spans="1:17" ht="33.75" customHeight="1">
      <c r="A479" s="16">
        <v>408</v>
      </c>
      <c r="B479" s="310" t="b">
        <v>0</v>
      </c>
      <c r="C479" s="12"/>
      <c r="D479" s="18" t="s">
        <v>458</v>
      </c>
      <c r="E479" s="14" t="s">
        <v>459</v>
      </c>
      <c r="F479" s="26"/>
      <c r="G479" s="38"/>
      <c r="H479" s="26" t="s">
        <v>70</v>
      </c>
      <c r="I479" s="12"/>
      <c r="J479" s="12"/>
      <c r="K479" s="242"/>
      <c r="L479" s="245"/>
      <c r="M479" s="25"/>
      <c r="N479" s="28"/>
      <c r="O479" s="185"/>
      <c r="P479" s="185"/>
      <c r="Q479" s="186"/>
    </row>
    <row r="480" spans="1:17" ht="33.75" customHeight="1">
      <c r="A480" s="16">
        <v>409</v>
      </c>
      <c r="B480" s="310" t="b">
        <v>0</v>
      </c>
      <c r="C480" s="12"/>
      <c r="D480" s="18"/>
      <c r="E480" s="14" t="s">
        <v>525</v>
      </c>
      <c r="F480" s="26"/>
      <c r="G480" s="38"/>
      <c r="H480" s="26" t="s">
        <v>70</v>
      </c>
      <c r="I480" s="12"/>
      <c r="J480" s="12"/>
      <c r="K480" s="242"/>
      <c r="L480" s="245"/>
      <c r="M480" s="25"/>
      <c r="N480" s="28"/>
      <c r="O480" s="185"/>
      <c r="P480" s="185"/>
      <c r="Q480" s="186"/>
    </row>
    <row r="481" spans="1:17" ht="33.75" customHeight="1">
      <c r="A481" s="16">
        <v>410</v>
      </c>
      <c r="B481" s="310" t="b">
        <v>0</v>
      </c>
      <c r="C481" s="12"/>
      <c r="D481" s="18" t="s">
        <v>460</v>
      </c>
      <c r="E481" s="14" t="s">
        <v>461</v>
      </c>
      <c r="F481" s="26"/>
      <c r="G481" s="38"/>
      <c r="H481" s="26" t="s">
        <v>70</v>
      </c>
      <c r="I481" s="12"/>
      <c r="J481" s="12"/>
      <c r="K481" s="242"/>
      <c r="L481" s="245"/>
      <c r="M481" s="25"/>
      <c r="N481" s="28"/>
      <c r="O481" s="185"/>
      <c r="P481" s="185"/>
      <c r="Q481" s="186"/>
    </row>
    <row r="482" spans="1:17" ht="33.75" customHeight="1">
      <c r="A482" s="16">
        <v>411</v>
      </c>
      <c r="B482" s="310" t="b">
        <v>0</v>
      </c>
      <c r="C482" s="12"/>
      <c r="D482" s="18" t="s">
        <v>462</v>
      </c>
      <c r="E482" s="14" t="s">
        <v>463</v>
      </c>
      <c r="F482" s="26"/>
      <c r="G482" s="38"/>
      <c r="H482" s="26" t="s">
        <v>70</v>
      </c>
      <c r="I482" s="12"/>
      <c r="J482" s="12"/>
      <c r="K482" s="242"/>
      <c r="L482" s="245"/>
      <c r="M482" s="25"/>
      <c r="N482" s="28"/>
      <c r="O482" s="185"/>
      <c r="P482" s="185"/>
      <c r="Q482" s="186"/>
    </row>
    <row r="483" spans="1:17" ht="33.75" customHeight="1">
      <c r="A483" s="16">
        <v>412</v>
      </c>
      <c r="B483" s="310" t="b">
        <v>0</v>
      </c>
      <c r="C483" s="12"/>
      <c r="D483" s="18" t="s">
        <v>507</v>
      </c>
      <c r="E483" s="14" t="s">
        <v>510</v>
      </c>
      <c r="F483" s="26"/>
      <c r="G483" s="38"/>
      <c r="H483" s="26" t="s">
        <v>70</v>
      </c>
      <c r="I483" s="12"/>
      <c r="J483" s="12"/>
      <c r="K483" s="242"/>
      <c r="L483" s="245"/>
      <c r="M483" s="25"/>
      <c r="N483" s="28"/>
      <c r="O483" s="185"/>
      <c r="P483" s="185"/>
      <c r="Q483" s="186"/>
    </row>
    <row r="484" spans="1:17" ht="33.75" customHeight="1">
      <c r="A484" s="16">
        <v>413</v>
      </c>
      <c r="B484" s="310" t="b">
        <v>0</v>
      </c>
      <c r="C484" s="12"/>
      <c r="D484" s="18" t="s">
        <v>508</v>
      </c>
      <c r="E484" s="14" t="s">
        <v>511</v>
      </c>
      <c r="F484" s="26"/>
      <c r="G484" s="38"/>
      <c r="H484" s="26" t="s">
        <v>70</v>
      </c>
      <c r="I484" s="12"/>
      <c r="J484" s="12"/>
      <c r="K484" s="242"/>
      <c r="L484" s="245"/>
      <c r="M484" s="25"/>
      <c r="N484" s="28"/>
      <c r="O484" s="185"/>
      <c r="P484" s="185"/>
      <c r="Q484" s="186"/>
    </row>
    <row r="485" spans="1:17" ht="33.75" customHeight="1">
      <c r="A485" s="16">
        <v>414</v>
      </c>
      <c r="B485" s="310" t="b">
        <v>0</v>
      </c>
      <c r="C485" s="12"/>
      <c r="D485" s="18" t="s">
        <v>509</v>
      </c>
      <c r="E485" s="14" t="s">
        <v>512</v>
      </c>
      <c r="F485" s="26"/>
      <c r="G485" s="38"/>
      <c r="H485" s="26" t="s">
        <v>70</v>
      </c>
      <c r="I485" s="12"/>
      <c r="J485" s="12"/>
      <c r="K485" s="242"/>
      <c r="L485" s="245"/>
      <c r="M485" s="25"/>
      <c r="N485" s="28"/>
      <c r="O485" s="185"/>
      <c r="P485" s="185"/>
      <c r="Q485" s="186"/>
    </row>
    <row r="486" spans="1:17" ht="33.75" customHeight="1">
      <c r="A486" s="16">
        <v>415</v>
      </c>
      <c r="B486" s="310" t="b">
        <v>0</v>
      </c>
      <c r="C486" s="12"/>
      <c r="D486" s="18" t="s">
        <v>513</v>
      </c>
      <c r="E486" s="14" t="s">
        <v>514</v>
      </c>
      <c r="F486" s="26"/>
      <c r="G486" s="38"/>
      <c r="H486" s="26" t="s">
        <v>70</v>
      </c>
      <c r="I486" s="12"/>
      <c r="J486" s="12"/>
      <c r="K486" s="242"/>
      <c r="L486" s="245"/>
      <c r="M486" s="25"/>
      <c r="N486" s="28"/>
      <c r="O486" s="185"/>
      <c r="P486" s="185"/>
      <c r="Q486" s="186"/>
    </row>
    <row r="487" spans="1:17" ht="33.75" customHeight="1">
      <c r="A487" s="16">
        <v>416</v>
      </c>
      <c r="B487" s="310" t="b">
        <v>0</v>
      </c>
      <c r="C487" s="12"/>
      <c r="D487" s="18" t="s">
        <v>533</v>
      </c>
      <c r="E487" s="14" t="s">
        <v>534</v>
      </c>
      <c r="F487" s="26"/>
      <c r="G487" s="38"/>
      <c r="H487" s="26" t="s">
        <v>70</v>
      </c>
      <c r="I487" s="12"/>
      <c r="J487" s="12"/>
      <c r="K487" s="242"/>
      <c r="L487" s="245"/>
      <c r="M487" s="25"/>
      <c r="N487" s="28"/>
      <c r="O487" s="185"/>
      <c r="P487" s="185"/>
      <c r="Q487" s="186"/>
    </row>
    <row r="488" spans="1:17" ht="33.75" customHeight="1">
      <c r="A488" s="16">
        <v>417</v>
      </c>
      <c r="B488" s="310" t="b">
        <v>0</v>
      </c>
      <c r="C488" s="12"/>
      <c r="D488" s="18"/>
      <c r="E488" s="14"/>
      <c r="F488" s="26"/>
      <c r="G488" s="38"/>
      <c r="H488" s="26"/>
      <c r="I488" s="12"/>
      <c r="J488" s="12"/>
      <c r="K488" s="242"/>
      <c r="L488" s="245"/>
      <c r="M488" s="25"/>
      <c r="N488" s="28"/>
      <c r="O488" s="185"/>
      <c r="P488" s="185"/>
      <c r="Q488" s="186"/>
    </row>
    <row r="489" spans="1:17" ht="33.75" customHeight="1">
      <c r="A489" s="16">
        <v>418</v>
      </c>
      <c r="B489" s="310" t="b">
        <v>0</v>
      </c>
      <c r="C489" s="12"/>
      <c r="D489" s="18"/>
      <c r="E489" s="14"/>
      <c r="F489" s="26"/>
      <c r="G489" s="38"/>
      <c r="H489" s="26"/>
      <c r="I489" s="12"/>
      <c r="J489" s="12"/>
      <c r="K489" s="242"/>
      <c r="L489" s="245"/>
      <c r="M489" s="25"/>
      <c r="N489" s="28"/>
      <c r="O489" s="185"/>
      <c r="P489" s="185"/>
      <c r="Q489" s="186"/>
    </row>
    <row r="490" spans="1:17" ht="33.75" customHeight="1">
      <c r="A490" s="16">
        <v>419</v>
      </c>
      <c r="B490" s="310" t="b">
        <v>0</v>
      </c>
      <c r="C490" s="12"/>
      <c r="D490" s="18"/>
      <c r="E490" s="14"/>
      <c r="F490" s="26"/>
      <c r="G490" s="38"/>
      <c r="H490" s="26"/>
      <c r="I490" s="12"/>
      <c r="J490" s="12"/>
      <c r="K490" s="242"/>
      <c r="L490" s="245"/>
      <c r="M490" s="25"/>
      <c r="N490" s="28"/>
      <c r="O490" s="185"/>
      <c r="P490" s="185"/>
      <c r="Q490" s="186"/>
    </row>
    <row r="491" spans="1:17" ht="33.75" customHeight="1">
      <c r="A491" s="16">
        <v>420</v>
      </c>
      <c r="B491" s="310" t="b">
        <v>0</v>
      </c>
      <c r="C491" s="12"/>
      <c r="D491" s="18"/>
      <c r="E491" s="14"/>
      <c r="F491" s="26"/>
      <c r="G491" s="38"/>
      <c r="H491" s="26"/>
      <c r="I491" s="12"/>
      <c r="J491" s="12"/>
      <c r="K491" s="242"/>
      <c r="L491" s="245"/>
      <c r="M491" s="25"/>
      <c r="N491" s="28"/>
      <c r="O491" s="185"/>
      <c r="P491" s="185"/>
      <c r="Q491" s="186"/>
    </row>
    <row r="492" spans="1:17" ht="33.75" customHeight="1">
      <c r="A492" s="16">
        <v>421</v>
      </c>
      <c r="B492" s="310" t="b">
        <v>0</v>
      </c>
      <c r="C492" s="12"/>
      <c r="D492" s="18"/>
      <c r="E492" s="14"/>
      <c r="F492" s="26"/>
      <c r="G492" s="38"/>
      <c r="H492" s="26"/>
      <c r="I492" s="12"/>
      <c r="J492" s="12"/>
      <c r="K492" s="242"/>
      <c r="L492" s="245"/>
      <c r="M492" s="25"/>
      <c r="N492" s="28"/>
      <c r="O492" s="185"/>
      <c r="P492" s="185"/>
      <c r="Q492" s="186"/>
    </row>
    <row r="493" spans="1:17" ht="33.75" customHeight="1">
      <c r="A493" s="16">
        <v>422</v>
      </c>
      <c r="B493" s="310" t="b">
        <v>0</v>
      </c>
      <c r="C493" s="12"/>
      <c r="D493" s="18"/>
      <c r="E493" s="14"/>
      <c r="F493" s="26"/>
      <c r="G493" s="38"/>
      <c r="H493" s="26"/>
      <c r="I493" s="12"/>
      <c r="J493" s="12"/>
      <c r="K493" s="242"/>
      <c r="L493" s="245"/>
      <c r="M493" s="25"/>
      <c r="N493" s="28"/>
      <c r="O493" s="185"/>
      <c r="P493" s="185"/>
      <c r="Q493" s="186"/>
    </row>
    <row r="494" spans="1:17" ht="33.75" customHeight="1">
      <c r="A494" s="16">
        <v>423</v>
      </c>
      <c r="B494" s="310" t="b">
        <v>0</v>
      </c>
      <c r="C494" s="12"/>
      <c r="D494" s="18"/>
      <c r="E494" s="14"/>
      <c r="F494" s="26"/>
      <c r="G494" s="38"/>
      <c r="H494" s="26"/>
      <c r="I494" s="12"/>
      <c r="J494" s="12"/>
      <c r="K494" s="242"/>
      <c r="L494" s="245"/>
      <c r="M494" s="25"/>
      <c r="N494" s="28"/>
      <c r="O494" s="185"/>
      <c r="P494" s="185"/>
      <c r="Q494" s="186"/>
    </row>
    <row r="495" spans="1:17" ht="33.75" customHeight="1">
      <c r="A495" s="16">
        <v>424</v>
      </c>
      <c r="B495" s="310" t="b">
        <v>0</v>
      </c>
      <c r="C495" s="12"/>
      <c r="D495" s="18"/>
      <c r="E495" s="14"/>
      <c r="F495" s="26"/>
      <c r="G495" s="38"/>
      <c r="H495" s="26"/>
      <c r="I495" s="12"/>
      <c r="J495" s="12"/>
      <c r="K495" s="242"/>
      <c r="L495" s="245"/>
      <c r="M495" s="25"/>
      <c r="N495" s="28"/>
      <c r="O495" s="185"/>
      <c r="P495" s="185"/>
      <c r="Q495" s="186"/>
    </row>
  </sheetData>
  <autoFilter ref="A9:Q495" xr:uid="{00000000-0009-0000-0000-000004000000}">
    <sortState xmlns:xlrd2="http://schemas.microsoft.com/office/spreadsheetml/2017/richdata2" ref="A10:Q484">
      <sortCondition ref="A9:A484"/>
    </sortState>
  </autoFilter>
  <mergeCells count="28">
    <mergeCell ref="K4:L5"/>
    <mergeCell ref="M4:N5"/>
    <mergeCell ref="K8:M8"/>
    <mergeCell ref="N8:Q8"/>
    <mergeCell ref="B5:B6"/>
    <mergeCell ref="C5:C6"/>
    <mergeCell ref="D6:D7"/>
    <mergeCell ref="E6:E7"/>
    <mergeCell ref="K6:L6"/>
    <mergeCell ref="M6:N6"/>
    <mergeCell ref="K7:L7"/>
    <mergeCell ref="M7:N7"/>
    <mergeCell ref="C1:P1"/>
    <mergeCell ref="Q1:Q4"/>
    <mergeCell ref="B2:B3"/>
    <mergeCell ref="C2:C3"/>
    <mergeCell ref="D2:D3"/>
    <mergeCell ref="E2:E3"/>
    <mergeCell ref="F2:F3"/>
    <mergeCell ref="G2:I3"/>
    <mergeCell ref="K2:L2"/>
    <mergeCell ref="M2:N2"/>
    <mergeCell ref="K3:L3"/>
    <mergeCell ref="M3:N3"/>
    <mergeCell ref="D4:D5"/>
    <mergeCell ref="E4:E5"/>
    <mergeCell ref="F4:F7"/>
    <mergeCell ref="G4:I7"/>
  </mergeCells>
  <pageMargins left="0.7" right="0.7" top="0.75" bottom="0.75" header="0.3" footer="0.3"/>
  <pageSetup paperSize="9"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ÇEKİ LİSTESİ (1)</vt:lpstr>
      <vt:lpstr> PACKING LIST</vt:lpstr>
      <vt:lpstr>ÇALIŞMA SAYFASI</vt:lpstr>
      <vt:lpstr>ÇIKTI SAYFASI</vt:lpstr>
      <vt:lpstr>İŞLETME CONTA TK.</vt:lpstr>
      <vt:lpstr>TRAFO MONTAJ EKİPMANLARI 3K</vt:lpstr>
      <vt:lpstr>TRAFO MONTAJ EKİPMANLARI SO</vt:lpstr>
      <vt:lpstr>ÇALIŞMA SAYFASI YDK</vt:lpstr>
      <vt:lpstr>' PACKING LIST'!Print_Area</vt:lpstr>
      <vt:lpstr>'ÇEKİ LİSTESİ (1)'!Print_Area</vt:lpstr>
      <vt:lpstr>'ÇIKTI SAYFASI'!Print_Area</vt:lpstr>
      <vt:lpstr>'İŞLETME CONTA TK.'!Print_Area</vt:lpstr>
      <vt:lpstr>'TRAFO MONTAJ EKİPMANLARI 3K'!Print_Area</vt:lpstr>
      <vt:lpstr>'TRAFO MONTAJ EKİPMANLARI SO'!Print_Area</vt:lpstr>
      <vt:lpstr>'ÇIKTI SAYFASI'!Print_Titles</vt:lpstr>
      <vt:lpstr>'İŞLETME CONTA TK.'!Print_Titles</vt:lpstr>
      <vt:lpstr>'TRAFO MONTAJ EKİPMANLARI 3K'!Print_Titles</vt:lpstr>
      <vt:lpstr>'TRAFO MONTAJ EKİPMANLARI SO'!Print_Titles</vt:lpstr>
    </vt:vector>
  </TitlesOfParts>
  <Company>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Esat BOZ</dc:creator>
  <cp:lastModifiedBy>Kaplan, Halit (GE Vernova, consultant)</cp:lastModifiedBy>
  <cp:lastPrinted>2026-01-20T11:11:52Z</cp:lastPrinted>
  <dcterms:created xsi:type="dcterms:W3CDTF">2015-12-02T22:11:39Z</dcterms:created>
  <dcterms:modified xsi:type="dcterms:W3CDTF">2026-04-16T13:41:03Z</dcterms:modified>
</cp:coreProperties>
</file>